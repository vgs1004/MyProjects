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arsh\Projects\Portfolio\03-project-financial-portfolio-tracker-excel\"/>
    </mc:Choice>
  </mc:AlternateContent>
  <xr:revisionPtr revIDLastSave="0" documentId="13_ncr:1_{18D2D01B-7E5C-48D6-8750-A6191F451DEB}" xr6:coauthVersionLast="47" xr6:coauthVersionMax="47" xr10:uidLastSave="{00000000-0000-0000-0000-000000000000}"/>
  <bookViews>
    <workbookView xWindow="-98" yWindow="-98" windowWidth="21795" windowHeight="12975" activeTab="3" xr2:uid="{00000000-000D-0000-FFFF-FFFF00000000}"/>
  </bookViews>
  <sheets>
    <sheet name="Projects" sheetId="1" r:id="rId1"/>
    <sheet name="Resources" sheetId="2" r:id="rId2"/>
    <sheet name="MonthlySpend" sheetId="3" r:id="rId3"/>
    <sheet name="Dashboard" sheetId="4" r:id="rId4"/>
  </sheets>
  <definedNames>
    <definedName name="_xlnm._FilterDatabase" localSheetId="2" hidden="1">MonthlySpend!$A$1:$D$105</definedName>
    <definedName name="_xlnm._FilterDatabase" localSheetId="0" hidden="1">Projects!$A$1:$L$15</definedName>
    <definedName name="_xlnm._FilterDatabase" localSheetId="1" hidden="1">Resources!$A$1:$F$93</definedName>
    <definedName name="Slicer_Region">#N/A</definedName>
    <definedName name="Slicer_RiskLevel">#N/A</definedName>
  </definedNames>
  <calcPr calcId="191029"/>
  <pivotCaches>
    <pivotCache cacheId="16" r:id="rId5"/>
    <pivotCache cacheId="9" r:id="rId6"/>
    <pivotCache cacheId="1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4" l="1"/>
  <c r="F5" i="4"/>
  <c r="D5" i="4"/>
  <c r="B5" i="4"/>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 r="J15" i="1"/>
  <c r="I15" i="1"/>
  <c r="J14" i="1"/>
  <c r="I14" i="1"/>
  <c r="J13" i="1"/>
  <c r="I13" i="1"/>
  <c r="J12" i="1"/>
  <c r="I12" i="1"/>
  <c r="J11" i="1"/>
  <c r="I11" i="1"/>
  <c r="J10" i="1"/>
  <c r="I10" i="1"/>
  <c r="J9" i="1"/>
  <c r="I9" i="1"/>
  <c r="J8" i="1"/>
  <c r="I8" i="1"/>
  <c r="J7" i="1"/>
  <c r="I7" i="1"/>
  <c r="J6" i="1"/>
  <c r="I6" i="1"/>
  <c r="J5" i="1"/>
  <c r="I5" i="1"/>
  <c r="J4" i="1"/>
  <c r="I4" i="1"/>
  <c r="J3" i="1"/>
  <c r="I3" i="1"/>
  <c r="J2" i="1"/>
  <c r="I2" i="1"/>
  <c r="J5" i="4" l="1"/>
</calcChain>
</file>

<file path=xl/sharedStrings.xml><?xml version="1.0" encoding="utf-8"?>
<sst xmlns="http://schemas.openxmlformats.org/spreadsheetml/2006/main" count="563" uniqueCount="83">
  <si>
    <t>ProjectID</t>
  </si>
  <si>
    <t>ProjectName</t>
  </si>
  <si>
    <t>Region</t>
  </si>
  <si>
    <t>PM</t>
  </si>
  <si>
    <t>StartDate</t>
  </si>
  <si>
    <t>EndDate</t>
  </si>
  <si>
    <t>Budget</t>
  </si>
  <si>
    <t>ActualSpend</t>
  </si>
  <si>
    <t>Variance</t>
  </si>
  <si>
    <t>PercentSpent</t>
  </si>
  <si>
    <t>ScheduleStatus</t>
  </si>
  <si>
    <t>RiskLevel</t>
  </si>
  <si>
    <t>PRJ-001</t>
  </si>
  <si>
    <t>Core Banking Migration</t>
  </si>
  <si>
    <t>Singapore</t>
  </si>
  <si>
    <t>S. Iyer</t>
  </si>
  <si>
    <t>Green</t>
  </si>
  <si>
    <t>Medium</t>
  </si>
  <si>
    <t>PRJ-002</t>
  </si>
  <si>
    <t>Claims Automation</t>
  </si>
  <si>
    <t>United States</t>
  </si>
  <si>
    <t>A. Mehta</t>
  </si>
  <si>
    <t>Low</t>
  </si>
  <si>
    <t>PRJ-003</t>
  </si>
  <si>
    <t>Data Warehouse Modernization</t>
  </si>
  <si>
    <t>United Kingdom</t>
  </si>
  <si>
    <t>K. Padilla</t>
  </si>
  <si>
    <t>PRJ-004</t>
  </si>
  <si>
    <t>Customer Portal Revamp</t>
  </si>
  <si>
    <t>Germany</t>
  </si>
  <si>
    <t>J. Ncube</t>
  </si>
  <si>
    <t>PRJ-005</t>
  </si>
  <si>
    <t>Regulatory Reporting Upgrade</t>
  </si>
  <si>
    <t>R. Fernandes</t>
  </si>
  <si>
    <t>Amber</t>
  </si>
  <si>
    <t>PRJ-006</t>
  </si>
  <si>
    <t>ERP Rollout</t>
  </si>
  <si>
    <t>M. Choudhury</t>
  </si>
  <si>
    <t>PRJ-007</t>
  </si>
  <si>
    <t>Payments Platform Refresh</t>
  </si>
  <si>
    <t>Brazil</t>
  </si>
  <si>
    <t>High</t>
  </si>
  <si>
    <t>PRJ-008</t>
  </si>
  <si>
    <t>HR System Consolidation</t>
  </si>
  <si>
    <t>South Africa</t>
  </si>
  <si>
    <t>PRJ-009</t>
  </si>
  <si>
    <t>Cloud Cost Optimization</t>
  </si>
  <si>
    <t>P. Osei</t>
  </si>
  <si>
    <t>PRJ-010</t>
  </si>
  <si>
    <t>Fraud Detection Enhancement</t>
  </si>
  <si>
    <t>L. Duarte</t>
  </si>
  <si>
    <t>Red</t>
  </si>
  <si>
    <t>PRJ-011</t>
  </si>
  <si>
    <t>Supply Chain Visibility</t>
  </si>
  <si>
    <t>PRJ-012</t>
  </si>
  <si>
    <t>Digital Onboarding</t>
  </si>
  <si>
    <t>PRJ-013</t>
  </si>
  <si>
    <t>Master Data Governance</t>
  </si>
  <si>
    <t>PRJ-014</t>
  </si>
  <si>
    <t>Network Resilience Program</t>
  </si>
  <si>
    <t>Resource</t>
  </si>
  <si>
    <t>Project</t>
  </si>
  <si>
    <t>Month</t>
  </si>
  <si>
    <t>PlannedHours</t>
  </si>
  <si>
    <t>BookedHours</t>
  </si>
  <si>
    <t>Utilization</t>
  </si>
  <si>
    <t>N. Kowalski</t>
  </si>
  <si>
    <t>T. Alvarez</t>
  </si>
  <si>
    <t>ActualSpendThatMonth</t>
  </si>
  <si>
    <t>Project Financial and Portfolio Tracker: Dashboard</t>
  </si>
  <si>
    <t>Total Budget</t>
  </si>
  <si>
    <t>Total Actual Spend</t>
  </si>
  <si>
    <t>Portfolio % Spent</t>
  </si>
  <si>
    <t>Red Projects</t>
  </si>
  <si>
    <t>Avg Utilization</t>
  </si>
  <si>
    <t>Charts above are PivotCharts with Region and RiskLevel slicers. Supporting PivotTables are below.</t>
  </si>
  <si>
    <t>Row Labels</t>
  </si>
  <si>
    <t>Grand Total</t>
  </si>
  <si>
    <t>Budget Amount</t>
  </si>
  <si>
    <t>Actual Spend</t>
  </si>
  <si>
    <t>Variance Amount</t>
  </si>
  <si>
    <t>Project Count</t>
  </si>
  <si>
    <t>Supporting PivotTables (source data behind the charts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</si>
</sst>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quot;K&quot;"/>
    <numFmt numFmtId="166" formatCode="0.0%"/>
    <numFmt numFmtId="167" formatCode="mmm\-yyyy"/>
    <numFmt numFmtId="168" formatCode="0.0,,&quot;M&quot;"/>
  </numFmts>
  <fonts count="7" x14ac:knownFonts="1">
    <font>
      <sz val="11"/>
      <color theme="1"/>
      <name val="Calibri"/>
      <family val="2"/>
      <scheme val="minor"/>
    </font>
    <font>
      <b/>
      <sz val="11"/>
      <color rgb="FFFFFFFF"/>
      <name val="Calibri"/>
    </font>
    <font>
      <b/>
      <sz val="16"/>
      <color rgb="FF3A332C"/>
      <name val="Calibri"/>
    </font>
    <font>
      <sz val="10"/>
      <color rgb="FF8A7F73"/>
      <name val="Calibri"/>
    </font>
    <font>
      <b/>
      <sz val="20"/>
      <color rgb="FF4B6350"/>
      <name val="Calibri"/>
    </font>
    <font>
      <i/>
      <sz val="9"/>
      <color rgb="FF8A7F73"/>
      <name val="Calibri"/>
    </font>
    <font>
      <i/>
      <sz val="9"/>
      <color rgb="FF8A7F73"/>
      <name val="Calibri"/>
      <family val="2"/>
      <scheme val="minor"/>
    </font>
  </fonts>
  <fills count="4">
    <fill>
      <patternFill patternType="none"/>
    </fill>
    <fill>
      <patternFill patternType="gray125"/>
    </fill>
    <fill>
      <patternFill patternType="solid">
        <fgColor rgb="FF3A332C"/>
      </patternFill>
    </fill>
    <fill>
      <patternFill patternType="solid">
        <fgColor rgb="FFF4EFE7"/>
      </patternFill>
    </fill>
  </fills>
  <borders count="2">
    <border>
      <left/>
      <right/>
      <top/>
      <bottom/>
      <diagonal/>
    </border>
    <border>
      <left style="thin">
        <color rgb="FFE1D6C4"/>
      </left>
      <right style="thin">
        <color rgb="FFE1D6C4"/>
      </right>
      <top style="thin">
        <color rgb="FFE1D6C4"/>
      </top>
      <bottom style="thin">
        <color rgb="FFE1D6C4"/>
      </bottom>
      <diagonal/>
    </border>
  </borders>
  <cellStyleXfs count="1">
    <xf numFmtId="0" fontId="0" fillId="0" borderId="0"/>
  </cellStyleXfs>
  <cellXfs count="18">
    <xf numFmtId="0" fontId="0" fillId="0" borderId="0" xfId="0"/>
    <xf numFmtId="0" fontId="1" fillId="2" borderId="0" xfId="0" applyFont="1" applyFill="1" applyAlignment="1">
      <alignment horizontal="center" vertical="center"/>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2" fillId="0" borderId="0" xfId="0" applyFont="1"/>
    <xf numFmtId="0" fontId="3" fillId="3" borderId="1" xfId="0" applyFont="1" applyFill="1" applyBorder="1" applyAlignment="1">
      <alignment horizontal="left" vertical="center"/>
    </xf>
    <xf numFmtId="168" fontId="4" fillId="3" borderId="1" xfId="0" applyNumberFormat="1" applyFont="1" applyFill="1" applyBorder="1" applyAlignment="1">
      <alignment horizontal="left" vertical="center"/>
    </xf>
    <xf numFmtId="166" fontId="4" fillId="3" borderId="1" xfId="0" applyNumberFormat="1" applyFont="1" applyFill="1" applyBorder="1" applyAlignment="1">
      <alignment horizontal="left" vertical="center"/>
    </xf>
    <xf numFmtId="0" fontId="4" fillId="3" borderId="1" xfId="0" applyFont="1" applyFill="1" applyBorder="1" applyAlignment="1">
      <alignment horizontal="left" vertical="center"/>
    </xf>
    <xf numFmtId="0" fontId="0" fillId="3" borderId="1" xfId="0" applyFill="1" applyBorder="1"/>
    <xf numFmtId="0" fontId="5" fillId="0" borderId="0" xfId="0" applyFont="1"/>
    <xf numFmtId="0" fontId="0" fillId="0" borderId="0" xfId="0" pivotButton="1"/>
    <xf numFmtId="0" fontId="0" fillId="0" borderId="0" xfId="0" applyAlignment="1">
      <alignment horizontal="left"/>
    </xf>
    <xf numFmtId="0" fontId="0" fillId="0" borderId="0" xfId="0" applyNumberFormat="1"/>
    <xf numFmtId="167" fontId="0" fillId="0" borderId="0" xfId="0" applyNumberFormat="1" applyAlignment="1">
      <alignment horizontal="left"/>
    </xf>
    <xf numFmtId="0" fontId="6" fillId="0" borderId="0" xfId="0" applyFont="1"/>
  </cellXfs>
  <cellStyles count="1">
    <cellStyle name="Normal" xfId="0" builtinId="0"/>
  </cellStyles>
  <dxfs count="22">
    <dxf>
      <font>
        <b/>
        <i val="0"/>
        <strike val="0"/>
        <condense val="0"/>
        <extend val="0"/>
        <outline val="0"/>
        <shadow val="0"/>
        <u val="none"/>
        <vertAlign val="baseline"/>
        <sz val="11"/>
        <color rgb="FFFFFFFF"/>
        <name val="Calibri"/>
        <scheme val="none"/>
      </font>
      <fill>
        <patternFill patternType="solid">
          <fgColor indexed="64"/>
          <bgColor rgb="FF3A332C"/>
        </patternFill>
      </fill>
      <alignment horizontal="center" vertical="center" textRotation="0" wrapText="0" indent="0" justifyLastLine="0" shrinkToFit="0" readingOrder="0"/>
    </dxf>
    <dxf>
      <numFmt numFmtId="165" formatCode="#,##0,&quot;K&quot;"/>
    </dxf>
    <dxf>
      <numFmt numFmtId="167" formatCode="mmm\-yyyy"/>
    </dxf>
    <dxf>
      <font>
        <b/>
        <i val="0"/>
        <strike val="0"/>
        <condense val="0"/>
        <extend val="0"/>
        <outline val="0"/>
        <shadow val="0"/>
        <u val="none"/>
        <vertAlign val="baseline"/>
        <sz val="11"/>
        <color rgb="FFFFFFFF"/>
        <name val="Calibri"/>
        <scheme val="none"/>
      </font>
      <fill>
        <patternFill patternType="solid">
          <fgColor indexed="64"/>
          <bgColor rgb="FF3A332C"/>
        </patternFill>
      </fill>
      <alignment horizontal="center" vertical="center" textRotation="0" wrapText="0" indent="0" justifyLastLine="0" shrinkToFit="0" readingOrder="0"/>
    </dxf>
    <dxf>
      <numFmt numFmtId="166" formatCode="0.0%"/>
    </dxf>
    <dxf>
      <numFmt numFmtId="167" formatCode="mmm\-yyyy"/>
    </dxf>
    <dxf>
      <font>
        <b/>
        <i val="0"/>
        <strike val="0"/>
        <condense val="0"/>
        <extend val="0"/>
        <outline val="0"/>
        <shadow val="0"/>
        <u val="none"/>
        <vertAlign val="baseline"/>
        <sz val="11"/>
        <color rgb="FFFFFFFF"/>
        <name val="Calibri"/>
        <scheme val="none"/>
      </font>
      <fill>
        <patternFill patternType="solid">
          <fgColor indexed="64"/>
          <bgColor rgb="FF3A332C"/>
        </patternFill>
      </fill>
      <alignment horizontal="center" vertical="center" textRotation="0" wrapText="0" indent="0" justifyLastLine="0" shrinkToFit="0" readingOrder="0"/>
    </dxf>
    <dxf>
      <numFmt numFmtId="166" formatCode="0.0%"/>
    </dxf>
    <dxf>
      <numFmt numFmtId="165" formatCode="#,##0,&quot;K&quot;"/>
    </dxf>
    <dxf>
      <numFmt numFmtId="165" formatCode="#,##0,&quot;K&quot;"/>
    </dxf>
    <dxf>
      <numFmt numFmtId="165" formatCode="#,##0,&quot;K&quot;"/>
    </dxf>
    <dxf>
      <numFmt numFmtId="164" formatCode="yyyy\-mm\-dd"/>
    </dxf>
    <dxf>
      <numFmt numFmtId="164" formatCode="yyyy\-mm\-dd"/>
    </dxf>
    <dxf>
      <font>
        <color rgb="FF8C6A22"/>
      </font>
      <fill>
        <patternFill patternType="solid">
          <fgColor rgb="FFF5E7C9"/>
        </patternFill>
      </fill>
    </dxf>
    <dxf>
      <font>
        <color rgb="FF4B6142"/>
      </font>
      <fill>
        <patternFill patternType="solid">
          <fgColor rgb="FFDCE7D2"/>
        </patternFill>
      </fill>
    </dxf>
    <dxf>
      <font>
        <color rgb="FF8C4B3A"/>
      </font>
      <fill>
        <patternFill patternType="solid">
          <fgColor rgb="FFF0DCD6"/>
        </patternFill>
      </fill>
    </dxf>
    <dxf>
      <font>
        <color rgb="FF4B6142"/>
      </font>
      <fill>
        <patternFill patternType="solid">
          <fgColor rgb="FFDCE7D2"/>
        </patternFill>
      </fill>
    </dxf>
    <dxf>
      <font>
        <color rgb="FF8C6A22"/>
      </font>
      <fill>
        <patternFill patternType="solid">
          <fgColor rgb="FFF5E7C9"/>
        </patternFill>
      </fill>
    </dxf>
    <dxf>
      <font>
        <color rgb="FF8C4B3A"/>
      </font>
      <fill>
        <patternFill patternType="solid">
          <fgColor rgb="FFF0DCD6"/>
        </patternFill>
      </fill>
    </dxf>
    <dxf>
      <font>
        <color rgb="FF8C6A22"/>
      </font>
      <fill>
        <patternFill patternType="solid">
          <fgColor rgb="FFF5E7C9"/>
        </patternFill>
      </fill>
    </dxf>
    <dxf>
      <font>
        <color rgb="FF8C4B3A"/>
      </font>
      <fill>
        <patternFill patternType="solid">
          <fgColor rgb="FFF0DCD6"/>
        </patternFill>
      </fill>
    </dxf>
    <dxf>
      <font>
        <color rgb="FF4B6142"/>
      </font>
      <fill>
        <patternFill patternType="solid">
          <fgColor rgb="FFDCE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[Project_Financial_Portfolio_Tracker.xlsx]Dashboard!PT_SpendVsBudget</c:name>
    <c:fmtId val="0"/>
  </c:pivotSource>
  <c:chart>
    <c:title>
      <c:tx>
        <c:rich>
          <a:bodyPr/>
          <a:lstStyle/>
          <a:p>
            <a:pPr>
              <a:defRPr b="1">
                <a:solidFill>
                  <a:srgbClr val="3A332C"/>
                </a:solidFill>
              </a:defRPr>
            </a:pPr>
            <a:r>
              <a:rPr lang="en-GB"/>
              <a:t>Spend vs Budget by Project</a:t>
            </a:r>
          </a:p>
        </c:rich>
      </c:tx>
      <c:overlay val="0"/>
    </c:title>
    <c:autoTitleDeleted val="0"/>
    <c:pivotFmts>
      <c:pivotFmt>
        <c:idx val="0"/>
        <c:spPr>
          <a:solidFill>
            <a:srgbClr val="D1A33B"/>
          </a:solidFill>
          <a:ln>
            <a:solidFill>
              <a:srgbClr val="D1A33B"/>
            </a:solidFill>
          </a:ln>
        </c:spPr>
        <c:marker>
          <c:symbol val="none"/>
        </c:marker>
        <c:dLbl>
          <c:idx val="0"/>
          <c:delete val="1"/>
          <c:extLst>
            <c:ext xmlns:c15="http://schemas.microsoft.com/office/drawing/2012/chart" uri="{CE6537A1-D6FC-4f65-9D91-7224C49458BB}"/>
          </c:extLst>
        </c:dLbl>
      </c:pivotFmt>
      <c:pivotFmt>
        <c:idx val="1"/>
        <c:spPr>
          <a:solidFill>
            <a:srgbClr val="C1652F"/>
          </a:solidFill>
          <a:ln>
            <a:solidFill>
              <a:srgbClr val="C1652F"/>
            </a:solidFill>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Dashboard!$C$48</c:f>
              <c:strCache>
                <c:ptCount val="1"/>
                <c:pt idx="0">
                  <c:v>Budget Amount</c:v>
                </c:pt>
              </c:strCache>
            </c:strRef>
          </c:tx>
          <c:spPr>
            <a:solidFill>
              <a:srgbClr val="D1A33B"/>
            </a:solidFill>
            <a:ln>
              <a:solidFill>
                <a:srgbClr val="D1A33B"/>
              </a:solidFill>
            </a:ln>
          </c:spPr>
          <c:invertIfNegative val="0"/>
          <c:cat>
            <c:strRef>
              <c:f>Dashboard!$B$49:$B$63</c:f>
              <c:strCache>
                <c:ptCount val="14"/>
                <c:pt idx="0">
                  <c:v>Claims Automation</c:v>
                </c:pt>
                <c:pt idx="1">
                  <c:v>Cloud Cost Optimization</c:v>
                </c:pt>
                <c:pt idx="2">
                  <c:v>Core Banking Migration</c:v>
                </c:pt>
                <c:pt idx="3">
                  <c:v>Customer Portal Revamp</c:v>
                </c:pt>
                <c:pt idx="4">
                  <c:v>Data Warehouse Modernization</c:v>
                </c:pt>
                <c:pt idx="5">
                  <c:v>Digital Onboarding</c:v>
                </c:pt>
                <c:pt idx="6">
                  <c:v>ERP Rollout</c:v>
                </c:pt>
                <c:pt idx="7">
                  <c:v>Fraud Detection Enhancement</c:v>
                </c:pt>
                <c:pt idx="8">
                  <c:v>HR System Consolidation</c:v>
                </c:pt>
                <c:pt idx="9">
                  <c:v>Master Data Governance</c:v>
                </c:pt>
                <c:pt idx="10">
                  <c:v>Network Resilience Program</c:v>
                </c:pt>
                <c:pt idx="11">
                  <c:v>Payments Platform Refresh</c:v>
                </c:pt>
                <c:pt idx="12">
                  <c:v>Regulatory Reporting Upgrade</c:v>
                </c:pt>
                <c:pt idx="13">
                  <c:v>Supply Chain Visibility</c:v>
                </c:pt>
              </c:strCache>
            </c:strRef>
          </c:cat>
          <c:val>
            <c:numRef>
              <c:f>Dashboard!$C$49:$C$63</c:f>
              <c:numCache>
                <c:formatCode>General</c:formatCode>
                <c:ptCount val="14"/>
                <c:pt idx="0">
                  <c:v>508000</c:v>
                </c:pt>
                <c:pt idx="1">
                  <c:v>862000</c:v>
                </c:pt>
                <c:pt idx="2">
                  <c:v>154000</c:v>
                </c:pt>
                <c:pt idx="3">
                  <c:v>633000</c:v>
                </c:pt>
                <c:pt idx="4">
                  <c:v>670000</c:v>
                </c:pt>
                <c:pt idx="5">
                  <c:v>585000</c:v>
                </c:pt>
                <c:pt idx="6">
                  <c:v>875000</c:v>
                </c:pt>
                <c:pt idx="7">
                  <c:v>150000</c:v>
                </c:pt>
                <c:pt idx="8">
                  <c:v>604000</c:v>
                </c:pt>
                <c:pt idx="9">
                  <c:v>162000</c:v>
                </c:pt>
                <c:pt idx="10">
                  <c:v>803000</c:v>
                </c:pt>
                <c:pt idx="11">
                  <c:v>163000</c:v>
                </c:pt>
                <c:pt idx="12">
                  <c:v>461000</c:v>
                </c:pt>
                <c:pt idx="13">
                  <c:v>371000</c:v>
                </c:pt>
              </c:numCache>
            </c:numRef>
          </c:val>
          <c:extLst>
            <c:ext xmlns:c16="http://schemas.microsoft.com/office/drawing/2014/chart" uri="{C3380CC4-5D6E-409C-BE32-E72D297353CC}">
              <c16:uniqueId val="{00000001-15C4-4688-B69F-83A79F56147F}"/>
            </c:ext>
          </c:extLst>
        </c:ser>
        <c:ser>
          <c:idx val="1"/>
          <c:order val="1"/>
          <c:tx>
            <c:strRef>
              <c:f>Dashboard!$D$48</c:f>
              <c:strCache>
                <c:ptCount val="1"/>
                <c:pt idx="0">
                  <c:v>Actual Spend</c:v>
                </c:pt>
              </c:strCache>
            </c:strRef>
          </c:tx>
          <c:spPr>
            <a:solidFill>
              <a:srgbClr val="C1652F"/>
            </a:solidFill>
            <a:ln>
              <a:solidFill>
                <a:srgbClr val="C1652F"/>
              </a:solidFill>
            </a:ln>
          </c:spPr>
          <c:invertIfNegative val="0"/>
          <c:cat>
            <c:strRef>
              <c:f>Dashboard!$B$49:$B$63</c:f>
              <c:strCache>
                <c:ptCount val="14"/>
                <c:pt idx="0">
                  <c:v>Claims Automation</c:v>
                </c:pt>
                <c:pt idx="1">
                  <c:v>Cloud Cost Optimization</c:v>
                </c:pt>
                <c:pt idx="2">
                  <c:v>Core Banking Migration</c:v>
                </c:pt>
                <c:pt idx="3">
                  <c:v>Customer Portal Revamp</c:v>
                </c:pt>
                <c:pt idx="4">
                  <c:v>Data Warehouse Modernization</c:v>
                </c:pt>
                <c:pt idx="5">
                  <c:v>Digital Onboarding</c:v>
                </c:pt>
                <c:pt idx="6">
                  <c:v>ERP Rollout</c:v>
                </c:pt>
                <c:pt idx="7">
                  <c:v>Fraud Detection Enhancement</c:v>
                </c:pt>
                <c:pt idx="8">
                  <c:v>HR System Consolidation</c:v>
                </c:pt>
                <c:pt idx="9">
                  <c:v>Master Data Governance</c:v>
                </c:pt>
                <c:pt idx="10">
                  <c:v>Network Resilience Program</c:v>
                </c:pt>
                <c:pt idx="11">
                  <c:v>Payments Platform Refresh</c:v>
                </c:pt>
                <c:pt idx="12">
                  <c:v>Regulatory Reporting Upgrade</c:v>
                </c:pt>
                <c:pt idx="13">
                  <c:v>Supply Chain Visibility</c:v>
                </c:pt>
              </c:strCache>
            </c:strRef>
          </c:cat>
          <c:val>
            <c:numRef>
              <c:f>Dashboard!$D$49:$D$63</c:f>
              <c:numCache>
                <c:formatCode>General</c:formatCode>
                <c:ptCount val="14"/>
                <c:pt idx="0">
                  <c:v>304200</c:v>
                </c:pt>
                <c:pt idx="1">
                  <c:v>810800</c:v>
                </c:pt>
                <c:pt idx="2">
                  <c:v>173200</c:v>
                </c:pt>
                <c:pt idx="3">
                  <c:v>400300</c:v>
                </c:pt>
                <c:pt idx="4">
                  <c:v>643100</c:v>
                </c:pt>
                <c:pt idx="5">
                  <c:v>345900</c:v>
                </c:pt>
                <c:pt idx="6">
                  <c:v>673700</c:v>
                </c:pt>
                <c:pt idx="7">
                  <c:v>170700</c:v>
                </c:pt>
                <c:pt idx="8">
                  <c:v>509000</c:v>
                </c:pt>
                <c:pt idx="9">
                  <c:v>108000</c:v>
                </c:pt>
                <c:pt idx="10">
                  <c:v>675100</c:v>
                </c:pt>
                <c:pt idx="11">
                  <c:v>155200</c:v>
                </c:pt>
                <c:pt idx="12">
                  <c:v>285000</c:v>
                </c:pt>
                <c:pt idx="13">
                  <c:v>390200</c:v>
                </c:pt>
              </c:numCache>
            </c:numRef>
          </c:val>
          <c:extLst>
            <c:ext xmlns:c16="http://schemas.microsoft.com/office/drawing/2014/chart" uri="{C3380CC4-5D6E-409C-BE32-E72D297353CC}">
              <c16:uniqueId val="{00000002-15C4-4688-B69F-83A79F56147F}"/>
            </c:ext>
          </c:extLst>
        </c:ser>
        <c:dLbls>
          <c:showLegendKey val="0"/>
          <c:showVal val="0"/>
          <c:showCatName val="0"/>
          <c:showSerName val="0"/>
          <c:showPercent val="0"/>
          <c:showBubbleSize val="0"/>
        </c:dLbls>
        <c:gapWidth val="150"/>
        <c:axId val="1219151471"/>
        <c:axId val="1140440463"/>
      </c:barChart>
      <c:catAx>
        <c:axId val="1219151471"/>
        <c:scaling>
          <c:orientation val="minMax"/>
        </c:scaling>
        <c:delete val="0"/>
        <c:axPos val="l"/>
        <c:numFmt formatCode="General" sourceLinked="1"/>
        <c:majorTickMark val="out"/>
        <c:minorTickMark val="none"/>
        <c:tickLblPos val="nextTo"/>
        <c:crossAx val="1140440463"/>
        <c:crosses val="autoZero"/>
        <c:auto val="1"/>
        <c:lblAlgn val="ctr"/>
        <c:lblOffset val="100"/>
        <c:noMultiLvlLbl val="0"/>
      </c:catAx>
      <c:valAx>
        <c:axId val="1140440463"/>
        <c:scaling>
          <c:orientation val="minMax"/>
        </c:scaling>
        <c:delete val="0"/>
        <c:axPos val="b"/>
        <c:majorGridlines/>
        <c:numFmt formatCode="#,##0,&quot;K&quot;" sourceLinked="0"/>
        <c:majorTickMark val="out"/>
        <c:minorTickMark val="none"/>
        <c:tickLblPos val="nextTo"/>
        <c:crossAx val="1219151471"/>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[Project_Financial_Portfolio_Tracker.xlsx]Dashboard!PT_RAGSummary</c:name>
    <c:fmtId val="0"/>
  </c:pivotSource>
  <c:chart>
    <c:title>
      <c:tx>
        <c:rich>
          <a:bodyPr/>
          <a:lstStyle/>
          <a:p>
            <a:pPr>
              <a:defRPr b="1">
                <a:solidFill>
                  <a:srgbClr val="3A332C"/>
                </a:solidFill>
              </a:defRPr>
            </a:pPr>
            <a:r>
              <a:rPr lang="en-GB"/>
              <a:t>RAG Summary: Projects by Schedule Status</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8C6A22"/>
          </a:solidFill>
        </c:spPr>
      </c:pivotFmt>
      <c:pivotFmt>
        <c:idx val="2"/>
        <c:spPr>
          <a:solidFill>
            <a:srgbClr val="4B6142"/>
          </a:solidFill>
        </c:spPr>
      </c:pivotFmt>
      <c:pivotFmt>
        <c:idx val="3"/>
        <c:spPr>
          <a:solidFill>
            <a:srgbClr val="8C4B3A"/>
          </a:solidFill>
        </c:spPr>
      </c:pivotFmt>
    </c:pivotFmts>
    <c:plotArea>
      <c:layout/>
      <c:pieChart>
        <c:varyColors val="1"/>
        <c:ser>
          <c:idx val="0"/>
          <c:order val="0"/>
          <c:tx>
            <c:strRef>
              <c:f>Dashboard!$AM$48</c:f>
              <c:strCache>
                <c:ptCount val="1"/>
                <c:pt idx="0">
                  <c:v>Total</c:v>
                </c:pt>
              </c:strCache>
            </c:strRef>
          </c:tx>
          <c:dPt>
            <c:idx val="0"/>
            <c:bubble3D val="0"/>
            <c:spPr>
              <a:solidFill>
                <a:srgbClr val="8C6A22"/>
              </a:solidFill>
            </c:spPr>
            <c:extLst>
              <c:ext xmlns:c16="http://schemas.microsoft.com/office/drawing/2014/chart" uri="{C3380CC4-5D6E-409C-BE32-E72D297353CC}">
                <c16:uniqueId val="{00000002-DB21-446A-9EBA-838B4C66C432}"/>
              </c:ext>
            </c:extLst>
          </c:dPt>
          <c:dPt>
            <c:idx val="1"/>
            <c:bubble3D val="0"/>
            <c:spPr>
              <a:solidFill>
                <a:srgbClr val="4B6142"/>
              </a:solidFill>
            </c:spPr>
            <c:extLst>
              <c:ext xmlns:c16="http://schemas.microsoft.com/office/drawing/2014/chart" uri="{C3380CC4-5D6E-409C-BE32-E72D297353CC}">
                <c16:uniqueId val="{00000003-DB21-446A-9EBA-838B4C66C432}"/>
              </c:ext>
            </c:extLst>
          </c:dPt>
          <c:dPt>
            <c:idx val="2"/>
            <c:bubble3D val="0"/>
            <c:spPr>
              <a:solidFill>
                <a:srgbClr val="8C4B3A"/>
              </a:solidFill>
            </c:spPr>
            <c:extLst>
              <c:ext xmlns:c16="http://schemas.microsoft.com/office/drawing/2014/chart" uri="{C3380CC4-5D6E-409C-BE32-E72D297353CC}">
                <c16:uniqueId val="{00000004-DB21-446A-9EBA-838B4C66C432}"/>
              </c:ext>
            </c:extLst>
          </c:dPt>
          <c:cat>
            <c:strRef>
              <c:f>Dashboard!$AL$49:$AL$52</c:f>
              <c:strCache>
                <c:ptCount val="3"/>
                <c:pt idx="0">
                  <c:v>Amber</c:v>
                </c:pt>
                <c:pt idx="1">
                  <c:v>Green</c:v>
                </c:pt>
                <c:pt idx="2">
                  <c:v>Red</c:v>
                </c:pt>
              </c:strCache>
            </c:strRef>
          </c:cat>
          <c:val>
            <c:numRef>
              <c:f>Dashboard!$AM$49:$AM$52</c:f>
              <c:numCache>
                <c:formatCode>General</c:formatCode>
                <c:ptCount val="3"/>
                <c:pt idx="0">
                  <c:v>5</c:v>
                </c:pt>
                <c:pt idx="1">
                  <c:v>7</c:v>
                </c:pt>
                <c:pt idx="2">
                  <c:v>2</c:v>
                </c:pt>
              </c:numCache>
            </c:numRef>
          </c:val>
          <c:extLst>
            <c:ext xmlns:c16="http://schemas.microsoft.com/office/drawing/2014/chart" uri="{C3380CC4-5D6E-409C-BE32-E72D297353CC}">
              <c16:uniqueId val="{00000001-DB21-446A-9EBA-838B4C66C432}"/>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[Project_Financial_Portfolio_Tracker.xlsx]Dashboard!PT_UtilByResource</c:name>
    <c:fmtId val="0"/>
  </c:pivotSource>
  <c:chart>
    <c:title>
      <c:tx>
        <c:rich>
          <a:bodyPr/>
          <a:lstStyle/>
          <a:p>
            <a:pPr>
              <a:defRPr b="1">
                <a:solidFill>
                  <a:srgbClr val="3A332C"/>
                </a:solidFill>
              </a:defRPr>
            </a:pPr>
            <a:r>
              <a:rPr lang="en-GB"/>
              <a:t>Utilization by Resource</a:t>
            </a:r>
          </a:p>
        </c:rich>
      </c:tx>
      <c:overlay val="0"/>
    </c:title>
    <c:autoTitleDeleted val="0"/>
    <c:pivotFmts>
      <c:pivotFmt>
        <c:idx val="0"/>
        <c:spPr>
          <a:solidFill>
            <a:srgbClr val="4B6350"/>
          </a:solidFill>
          <a:ln>
            <a:solidFill>
              <a:srgbClr val="4B6350"/>
            </a:solid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Dashboard!$AA$48</c:f>
              <c:strCache>
                <c:ptCount val="1"/>
                <c:pt idx="0">
                  <c:v>Total</c:v>
                </c:pt>
              </c:strCache>
            </c:strRef>
          </c:tx>
          <c:spPr>
            <a:solidFill>
              <a:srgbClr val="4B6350"/>
            </a:solidFill>
            <a:ln>
              <a:solidFill>
                <a:srgbClr val="4B6350"/>
              </a:solidFill>
            </a:ln>
          </c:spPr>
          <c:invertIfNegative val="0"/>
          <c:cat>
            <c:strRef>
              <c:f>Dashboard!$Z$49:$Z$59</c:f>
              <c:strCache>
                <c:ptCount val="10"/>
                <c:pt idx="0">
                  <c:v>A. Mehta</c:v>
                </c:pt>
                <c:pt idx="1">
                  <c:v>J. Ncube</c:v>
                </c:pt>
                <c:pt idx="2">
                  <c:v>K. Padilla</c:v>
                </c:pt>
                <c:pt idx="3">
                  <c:v>L. Duarte</c:v>
                </c:pt>
                <c:pt idx="4">
                  <c:v>M. Choudhury</c:v>
                </c:pt>
                <c:pt idx="5">
                  <c:v>N. Kowalski</c:v>
                </c:pt>
                <c:pt idx="6">
                  <c:v>P. Osei</c:v>
                </c:pt>
                <c:pt idx="7">
                  <c:v>R. Fernandes</c:v>
                </c:pt>
                <c:pt idx="8">
                  <c:v>S. Iyer</c:v>
                </c:pt>
                <c:pt idx="9">
                  <c:v>T. Alvarez</c:v>
                </c:pt>
              </c:strCache>
            </c:strRef>
          </c:cat>
          <c:val>
            <c:numRef>
              <c:f>Dashboard!$AA$49:$AA$59</c:f>
              <c:numCache>
                <c:formatCode>General</c:formatCode>
                <c:ptCount val="10"/>
                <c:pt idx="0">
                  <c:v>0.77916666666666656</c:v>
                </c:pt>
                <c:pt idx="1">
                  <c:v>0.9570238095238095</c:v>
                </c:pt>
                <c:pt idx="2">
                  <c:v>0.98390624999999998</c:v>
                </c:pt>
                <c:pt idx="3">
                  <c:v>0.83404761904761915</c:v>
                </c:pt>
                <c:pt idx="4">
                  <c:v>0.84354166666666663</c:v>
                </c:pt>
                <c:pt idx="5">
                  <c:v>0.78095238095238095</c:v>
                </c:pt>
                <c:pt idx="6">
                  <c:v>1.0261904761904763</c:v>
                </c:pt>
                <c:pt idx="7">
                  <c:v>0.95818627450980387</c:v>
                </c:pt>
                <c:pt idx="8">
                  <c:v>0.91583333333333328</c:v>
                </c:pt>
                <c:pt idx="9">
                  <c:v>0.88403645833333333</c:v>
                </c:pt>
              </c:numCache>
            </c:numRef>
          </c:val>
          <c:extLst>
            <c:ext xmlns:c16="http://schemas.microsoft.com/office/drawing/2014/chart" uri="{C3380CC4-5D6E-409C-BE32-E72D297353CC}">
              <c16:uniqueId val="{00000001-8D8C-46A5-9727-4731FE5710D7}"/>
            </c:ext>
          </c:extLst>
        </c:ser>
        <c:dLbls>
          <c:showLegendKey val="0"/>
          <c:showVal val="0"/>
          <c:showCatName val="0"/>
          <c:showSerName val="0"/>
          <c:showPercent val="0"/>
          <c:showBubbleSize val="0"/>
        </c:dLbls>
        <c:gapWidth val="150"/>
        <c:axId val="1846536079"/>
        <c:axId val="1140468303"/>
      </c:barChart>
      <c:catAx>
        <c:axId val="1846536079"/>
        <c:scaling>
          <c:orientation val="minMax"/>
        </c:scaling>
        <c:delete val="0"/>
        <c:axPos val="b"/>
        <c:numFmt formatCode="General" sourceLinked="1"/>
        <c:majorTickMark val="out"/>
        <c:minorTickMark val="none"/>
        <c:tickLblPos val="nextTo"/>
        <c:crossAx val="1140468303"/>
        <c:crosses val="autoZero"/>
        <c:auto val="1"/>
        <c:lblAlgn val="ctr"/>
        <c:lblOffset val="100"/>
        <c:noMultiLvlLbl val="0"/>
      </c:catAx>
      <c:valAx>
        <c:axId val="1140468303"/>
        <c:scaling>
          <c:orientation val="minMax"/>
        </c:scaling>
        <c:delete val="0"/>
        <c:axPos val="l"/>
        <c:majorGridlines/>
        <c:numFmt formatCode="General" sourceLinked="1"/>
        <c:majorTickMark val="out"/>
        <c:minorTickMark val="none"/>
        <c:tickLblPos val="nextTo"/>
        <c:crossAx val="1846536079"/>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[Project_Financial_Portfolio_Tracker.xlsx]Dashboard!PT_MonthlySpend</c:name>
    <c:fmtId val="0"/>
  </c:pivotSource>
  <c:chart>
    <c:title>
      <c:tx>
        <c:rich>
          <a:bodyPr/>
          <a:lstStyle/>
          <a:p>
            <a:pPr>
              <a:defRPr b="1">
                <a:solidFill>
                  <a:srgbClr val="3A332C"/>
                </a:solidFill>
              </a:defRPr>
            </a:pPr>
            <a:r>
              <a:rPr lang="en-GB"/>
              <a:t>Monthly Spend Trend</a:t>
            </a:r>
          </a:p>
        </c:rich>
      </c:tx>
      <c:overlay val="0"/>
    </c:title>
    <c:autoTitleDeleted val="0"/>
    <c:pivotFmts>
      <c:pivotFmt>
        <c:idx val="0"/>
        <c:spPr>
          <a:ln>
            <a:solidFill>
              <a:srgbClr val="C1652F"/>
            </a:soli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Dashboard!$AY$48</c:f>
              <c:strCache>
                <c:ptCount val="1"/>
                <c:pt idx="0">
                  <c:v>Total</c:v>
                </c:pt>
              </c:strCache>
            </c:strRef>
          </c:tx>
          <c:spPr>
            <a:ln>
              <a:solidFill>
                <a:srgbClr val="C1652F"/>
              </a:solidFill>
            </a:ln>
          </c:spPr>
          <c:marker>
            <c:symbol val="none"/>
          </c:marker>
          <c:cat>
            <c:strRef>
              <c:f>Dashboard!$AX$49:$AX$64</c:f>
              <c:strCache>
                <c:ptCount val="15"/>
                <c:pt idx="0">
                  <c:v>Jan-2025</c:v>
                </c:pt>
                <c:pt idx="1">
                  <c:v>Feb-2025</c:v>
                </c:pt>
                <c:pt idx="2">
                  <c:v>Mar-2025</c:v>
                </c:pt>
                <c:pt idx="3">
                  <c:v>Apr-2025</c:v>
                </c:pt>
                <c:pt idx="4">
                  <c:v>May-2025</c:v>
                </c:pt>
                <c:pt idx="5">
                  <c:v>Jun-2025</c:v>
                </c:pt>
                <c:pt idx="6">
                  <c:v>Jul-2025</c:v>
                </c:pt>
                <c:pt idx="7">
                  <c:v>Aug-2025</c:v>
                </c:pt>
                <c:pt idx="8">
                  <c:v>Sep-2025</c:v>
                </c:pt>
                <c:pt idx="9">
                  <c:v>Oct-2025</c:v>
                </c:pt>
                <c:pt idx="10">
                  <c:v>Nov-2025</c:v>
                </c:pt>
                <c:pt idx="11">
                  <c:v>Dec-2025</c:v>
                </c:pt>
                <c:pt idx="12">
                  <c:v>Jan-2026</c:v>
                </c:pt>
                <c:pt idx="13">
                  <c:v>Feb-2026</c:v>
                </c:pt>
                <c:pt idx="14">
                  <c:v>Mar-2026</c:v>
                </c:pt>
              </c:strCache>
            </c:strRef>
          </c:cat>
          <c:val>
            <c:numRef>
              <c:f>Dashboard!$AY$49:$AY$64</c:f>
              <c:numCache>
                <c:formatCode>General</c:formatCode>
                <c:ptCount val="15"/>
                <c:pt idx="0">
                  <c:v>243430</c:v>
                </c:pt>
                <c:pt idx="1">
                  <c:v>307520</c:v>
                </c:pt>
                <c:pt idx="2">
                  <c:v>326120</c:v>
                </c:pt>
                <c:pt idx="3">
                  <c:v>730600</c:v>
                </c:pt>
                <c:pt idx="4">
                  <c:v>1027100</c:v>
                </c:pt>
                <c:pt idx="5">
                  <c:v>648600</c:v>
                </c:pt>
                <c:pt idx="6">
                  <c:v>499230</c:v>
                </c:pt>
                <c:pt idx="7">
                  <c:v>569590</c:v>
                </c:pt>
                <c:pt idx="8">
                  <c:v>390370</c:v>
                </c:pt>
                <c:pt idx="9">
                  <c:v>238350</c:v>
                </c:pt>
                <c:pt idx="10">
                  <c:v>219190</c:v>
                </c:pt>
                <c:pt idx="11">
                  <c:v>218950</c:v>
                </c:pt>
                <c:pt idx="12">
                  <c:v>122360</c:v>
                </c:pt>
                <c:pt idx="13">
                  <c:v>88600</c:v>
                </c:pt>
                <c:pt idx="14">
                  <c:v>14390</c:v>
                </c:pt>
              </c:numCache>
            </c:numRef>
          </c:val>
          <c:smooth val="0"/>
          <c:extLst>
            <c:ext xmlns:c16="http://schemas.microsoft.com/office/drawing/2014/chart" uri="{C3380CC4-5D6E-409C-BE32-E72D297353CC}">
              <c16:uniqueId val="{00000001-9CDF-4A1F-BDBC-0C699F491DFE}"/>
            </c:ext>
          </c:extLst>
        </c:ser>
        <c:dLbls>
          <c:showLegendKey val="0"/>
          <c:showVal val="0"/>
          <c:showCatName val="0"/>
          <c:showSerName val="0"/>
          <c:showPercent val="0"/>
          <c:showBubbleSize val="0"/>
        </c:dLbls>
        <c:smooth val="0"/>
        <c:axId val="1846538863"/>
        <c:axId val="1140462063"/>
      </c:lineChart>
      <c:catAx>
        <c:axId val="1846538863"/>
        <c:scaling>
          <c:orientation val="minMax"/>
        </c:scaling>
        <c:delete val="0"/>
        <c:axPos val="b"/>
        <c:numFmt formatCode="General" sourceLinked="1"/>
        <c:majorTickMark val="out"/>
        <c:minorTickMark val="none"/>
        <c:tickLblPos val="nextTo"/>
        <c:crossAx val="1140462063"/>
        <c:crosses val="autoZero"/>
        <c:auto val="1"/>
        <c:lblAlgn val="ctr"/>
        <c:lblOffset val="100"/>
        <c:noMultiLvlLbl val="0"/>
      </c:catAx>
      <c:valAx>
        <c:axId val="1140462063"/>
        <c:scaling>
          <c:orientation val="minMax"/>
        </c:scaling>
        <c:delete val="0"/>
        <c:axPos val="l"/>
        <c:majorGridlines/>
        <c:numFmt formatCode="#,##0,&quot;K&quot;" sourceLinked="0"/>
        <c:majorTickMark val="out"/>
        <c:minorTickMark val="none"/>
        <c:tickLblPos val="nextTo"/>
        <c:crossAx val="1846538863"/>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7</xdr:col>
      <xdr:colOff>365125</xdr:colOff>
      <xdr:row>26</xdr:row>
      <xdr:rowOff>98425</xdr:rowOff>
    </xdr:to>
    <xdr:graphicFrame macro="">
      <xdr:nvGraphicFramePr>
        <xdr:cNvPr id="2" name="Chart 1">
          <a:extLst>
            <a:ext uri="{FF2B5EF4-FFF2-40B4-BE49-F238E27FC236}">
              <a16:creationId xmlns:a16="http://schemas.microsoft.com/office/drawing/2014/main" id="{7E7D8BB9-24C3-A93A-4698-5503BAD707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619125</xdr:colOff>
      <xdr:row>9</xdr:row>
      <xdr:rowOff>0</xdr:rowOff>
    </xdr:from>
    <xdr:to>
      <xdr:col>13</xdr:col>
      <xdr:colOff>784225</xdr:colOff>
      <xdr:row>26</xdr:row>
      <xdr:rowOff>98425</xdr:rowOff>
    </xdr:to>
    <xdr:graphicFrame macro="">
      <xdr:nvGraphicFramePr>
        <xdr:cNvPr id="3" name="Chart 2">
          <a:extLst>
            <a:ext uri="{FF2B5EF4-FFF2-40B4-BE49-F238E27FC236}">
              <a16:creationId xmlns:a16="http://schemas.microsoft.com/office/drawing/2014/main" id="{24A60128-8385-3C7E-25C5-C9FC0CB8F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171450</xdr:rowOff>
    </xdr:from>
    <xdr:to>
      <xdr:col>5</xdr:col>
      <xdr:colOff>1222375</xdr:colOff>
      <xdr:row>45</xdr:row>
      <xdr:rowOff>88900</xdr:rowOff>
    </xdr:to>
    <xdr:graphicFrame macro="">
      <xdr:nvGraphicFramePr>
        <xdr:cNvPr id="4" name="Chart 3">
          <a:extLst>
            <a:ext uri="{FF2B5EF4-FFF2-40B4-BE49-F238E27FC236}">
              <a16:creationId xmlns:a16="http://schemas.microsoft.com/office/drawing/2014/main" id="{F4D01204-06BB-33EC-BAB3-A1C7CB750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619125</xdr:colOff>
      <xdr:row>27</xdr:row>
      <xdr:rowOff>171450</xdr:rowOff>
    </xdr:from>
    <xdr:to>
      <xdr:col>13</xdr:col>
      <xdr:colOff>784225</xdr:colOff>
      <xdr:row>45</xdr:row>
      <xdr:rowOff>88900</xdr:rowOff>
    </xdr:to>
    <xdr:graphicFrame macro="">
      <xdr:nvGraphicFramePr>
        <xdr:cNvPr id="5" name="Chart 4">
          <a:extLst>
            <a:ext uri="{FF2B5EF4-FFF2-40B4-BE49-F238E27FC236}">
              <a16:creationId xmlns:a16="http://schemas.microsoft.com/office/drawing/2014/main" id="{A8509BD2-74CA-7713-5D25-705CEF145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1292225</xdr:colOff>
      <xdr:row>9</xdr:row>
      <xdr:rowOff>0</xdr:rowOff>
    </xdr:from>
    <xdr:to>
      <xdr:col>15</xdr:col>
      <xdr:colOff>390525</xdr:colOff>
      <xdr:row>21</xdr:row>
      <xdr:rowOff>114300</xdr:rowOff>
    </xdr:to>
    <mc:AlternateContent xmlns:mc="http://schemas.openxmlformats.org/markup-compatibility/2006">
      <mc:Choice xmlns:a14="http://schemas.microsoft.com/office/drawing/2010/main" Requires="a14">
        <xdr:graphicFrame macro="">
          <xdr:nvGraphicFramePr>
            <xdr:cNvPr id="6" name="RegionSlicer">
              <a:extLst>
                <a:ext uri="{FF2B5EF4-FFF2-40B4-BE49-F238E27FC236}">
                  <a16:creationId xmlns:a16="http://schemas.microsoft.com/office/drawing/2014/main" id="{32F087F5-51AC-3AF6-05B5-66B2388D17D6}"/>
                </a:ext>
              </a:extLst>
            </xdr:cNvPr>
            <xdr:cNvGraphicFramePr/>
          </xdr:nvGraphicFramePr>
          <xdr:xfrm>
            <a:off x="0" y="0"/>
            <a:ext cx="0" cy="0"/>
          </xdr:xfrm>
          <a:graphic>
            <a:graphicData uri="http://schemas.microsoft.com/office/drawing/2010/slicer">
              <sle:slicer xmlns:sle="http://schemas.microsoft.com/office/drawing/2010/slicer" name="RegionSlicer"/>
            </a:graphicData>
          </a:graphic>
        </xdr:graphicFrame>
      </mc:Choice>
      <mc:Fallback>
        <xdr:sp macro="" textlink="">
          <xdr:nvSpPr>
            <xdr:cNvPr id="0" name=""/>
            <xdr:cNvSpPr>
              <a:spLocks noTextEdit="1"/>
            </xdr:cNvSpPr>
          </xdr:nvSpPr>
          <xdr:spPr>
            <a:xfrm>
              <a:off x="12974358" y="1748118"/>
              <a:ext cx="2028638" cy="22658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1292225</xdr:colOff>
      <xdr:row>22</xdr:row>
      <xdr:rowOff>60325</xdr:rowOff>
    </xdr:from>
    <xdr:to>
      <xdr:col>15</xdr:col>
      <xdr:colOff>390525</xdr:colOff>
      <xdr:row>32</xdr:row>
      <xdr:rowOff>28575</xdr:rowOff>
    </xdr:to>
    <mc:AlternateContent xmlns:mc="http://schemas.openxmlformats.org/markup-compatibility/2006">
      <mc:Choice xmlns:a14="http://schemas.microsoft.com/office/drawing/2010/main" Requires="a14">
        <xdr:graphicFrame macro="">
          <xdr:nvGraphicFramePr>
            <xdr:cNvPr id="7" name="RiskSlicer">
              <a:extLst>
                <a:ext uri="{FF2B5EF4-FFF2-40B4-BE49-F238E27FC236}">
                  <a16:creationId xmlns:a16="http://schemas.microsoft.com/office/drawing/2014/main" id="{E301C580-2264-58C8-973F-3EED7A89A542}"/>
                </a:ext>
              </a:extLst>
            </xdr:cNvPr>
            <xdr:cNvGraphicFramePr/>
          </xdr:nvGraphicFramePr>
          <xdr:xfrm>
            <a:off x="0" y="0"/>
            <a:ext cx="0" cy="0"/>
          </xdr:xfrm>
          <a:graphic>
            <a:graphicData uri="http://schemas.microsoft.com/office/drawing/2010/slicer">
              <sle:slicer xmlns:sle="http://schemas.microsoft.com/office/drawing/2010/slicer" name="RiskSlicer"/>
            </a:graphicData>
          </a:graphic>
        </xdr:graphicFrame>
      </mc:Choice>
      <mc:Fallback>
        <xdr:sp macro="" textlink="">
          <xdr:nvSpPr>
            <xdr:cNvPr id="0" name=""/>
            <xdr:cNvSpPr>
              <a:spLocks noTextEdit="1"/>
            </xdr:cNvSpPr>
          </xdr:nvSpPr>
          <xdr:spPr>
            <a:xfrm>
              <a:off x="12974358" y="4139266"/>
              <a:ext cx="2028638" cy="17611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GS" refreshedDate="46275.070654282405" createdVersion="8" refreshedVersion="8" minRefreshableVersion="3" recordCount="14" xr:uid="{A3CF2B9F-848E-4841-8372-FB9D7C5C9E7E}">
  <cacheSource type="worksheet">
    <worksheetSource name="ProjectsTable"/>
  </cacheSource>
  <cacheFields count="12">
    <cacheField name="ProjectID" numFmtId="0">
      <sharedItems/>
    </cacheField>
    <cacheField name="ProjectName" numFmtId="0">
      <sharedItems count="14">
        <s v="Core Banking Migration"/>
        <s v="Claims Automation"/>
        <s v="Data Warehouse Modernization"/>
        <s v="Customer Portal Revamp"/>
        <s v="Regulatory Reporting Upgrade"/>
        <s v="ERP Rollout"/>
        <s v="Payments Platform Refresh"/>
        <s v="HR System Consolidation"/>
        <s v="Cloud Cost Optimization"/>
        <s v="Fraud Detection Enhancement"/>
        <s v="Supply Chain Visibility"/>
        <s v="Digital Onboarding"/>
        <s v="Master Data Governance"/>
        <s v="Network Resilience Program"/>
      </sharedItems>
    </cacheField>
    <cacheField name="Region" numFmtId="0">
      <sharedItems count="6">
        <s v="Singapore"/>
        <s v="United States"/>
        <s v="United Kingdom"/>
        <s v="Germany"/>
        <s v="Brazil"/>
        <s v="South Africa"/>
      </sharedItems>
    </cacheField>
    <cacheField name="PM" numFmtId="0">
      <sharedItems/>
    </cacheField>
    <cacheField name="StartDate" numFmtId="164">
      <sharedItems containsSemiMixedTypes="0" containsNonDate="0" containsDate="1" containsString="0" minDate="2025-01-11T00:00:00" maxDate="2025-05-31T00:00:00"/>
    </cacheField>
    <cacheField name="EndDate" numFmtId="164">
      <sharedItems containsSemiMixedTypes="0" containsNonDate="0" containsDate="1" containsString="0" minDate="2025-05-11T00:00:00" maxDate="2026-03-09T00:00:00"/>
    </cacheField>
    <cacheField name="Budget" numFmtId="165">
      <sharedItems containsSemiMixedTypes="0" containsString="0" containsNumber="1" containsInteger="1" minValue="150000" maxValue="875000"/>
    </cacheField>
    <cacheField name="ActualSpend" numFmtId="165">
      <sharedItems containsSemiMixedTypes="0" containsString="0" containsNumber="1" containsInteger="1" minValue="108000" maxValue="810800"/>
    </cacheField>
    <cacheField name="Variance" numFmtId="165">
      <sharedItems containsSemiMixedTypes="0" containsString="0" containsNumber="1" containsInteger="1" minValue="-20700" maxValue="239100"/>
    </cacheField>
    <cacheField name="PercentSpent" numFmtId="166">
      <sharedItems containsSemiMixedTypes="0" containsString="0" containsNumber="1" minValue="0.59128205128205125" maxValue="1.1379999999999999"/>
    </cacheField>
    <cacheField name="ScheduleStatus" numFmtId="0">
      <sharedItems count="3">
        <s v="Green"/>
        <s v="Amber"/>
        <s v="Red"/>
      </sharedItems>
    </cacheField>
    <cacheField name="RiskLevel" numFmtId="0">
      <sharedItems count="3">
        <s v="Medium"/>
        <s v="Low"/>
        <s v="High"/>
      </sharedItems>
    </cacheField>
  </cacheFields>
  <extLst>
    <ext xmlns:x14="http://schemas.microsoft.com/office/spreadsheetml/2009/9/main" uri="{725AE2AE-9491-48be-B2B4-4EB974FC3084}">
      <x14:pivotCacheDefinition pivotCacheId="8358552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GS" refreshedDate="46275.070654629628" createdVersion="8" refreshedVersion="8" minRefreshableVersion="3" recordCount="92" xr:uid="{62CF8E7B-F11A-4A24-B7ED-36FAD1254BE2}">
  <cacheSource type="worksheet">
    <worksheetSource name="ResourcesTable"/>
  </cacheSource>
  <cacheFields count="6">
    <cacheField name="Resource" numFmtId="0">
      <sharedItems count="10">
        <s v="N. Kowalski"/>
        <s v="T. Alvarez"/>
        <s v="M. Choudhury"/>
        <s v="J. Ncube"/>
        <s v="S. Iyer"/>
        <s v="P. Osei"/>
        <s v="K. Padilla"/>
        <s v="L. Duarte"/>
        <s v="A. Mehta"/>
        <s v="R. Fernandes"/>
      </sharedItems>
    </cacheField>
    <cacheField name="Project" numFmtId="0">
      <sharedItems/>
    </cacheField>
    <cacheField name="Month" numFmtId="167">
      <sharedItems containsSemiMixedTypes="0" containsNonDate="0" containsDate="1" containsString="0" minDate="2025-01-01T00:00:00" maxDate="2025-09-02T00:00:00"/>
    </cacheField>
    <cacheField name="PlannedHours" numFmtId="0">
      <sharedItems containsSemiMixedTypes="0" containsString="0" containsNumber="1" containsInteger="1" minValue="40" maxValue="160"/>
    </cacheField>
    <cacheField name="BookedHours" numFmtId="0">
      <sharedItems containsSemiMixedTypes="0" containsString="0" containsNumber="1" containsInteger="1" minValue="24" maxValue="193"/>
    </cacheField>
    <cacheField name="Utilization" numFmtId="166">
      <sharedItems containsSemiMixedTypes="0" containsString="0" containsNumber="1" minValue="0.6" maxValue="1.2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GS" refreshedDate="46275.07065509259" createdVersion="8" refreshedVersion="8" minRefreshableVersion="3" recordCount="104" xr:uid="{65D1F223-6C02-48FE-9593-719FEE1E23C0}">
  <cacheSource type="worksheet">
    <worksheetSource name="MonthlySpendTable"/>
  </cacheSource>
  <cacheFields count="4">
    <cacheField name="ProjectID" numFmtId="0">
      <sharedItems/>
    </cacheField>
    <cacheField name="ProjectName" numFmtId="0">
      <sharedItems/>
    </cacheField>
    <cacheField name="Month" numFmtId="167">
      <sharedItems containsSemiMixedTypes="0" containsNonDate="0" containsDate="1" containsString="0" minDate="2025-01-01T00:00:00" maxDate="2026-03-02T00:00:00" count="15">
        <d v="2025-04-01T00:00:00"/>
        <d v="2025-05-01T00:00:00"/>
        <d v="2025-06-01T00:00:00"/>
        <d v="2025-07-01T00:00:00"/>
        <d v="2025-01-01T00:00:00"/>
        <d v="2025-02-01T00:00:00"/>
        <d v="2025-03-01T00:00:00"/>
        <d v="2025-08-01T00:00:00"/>
        <d v="2025-09-01T00:00:00"/>
        <d v="2025-10-01T00:00:00"/>
        <d v="2025-11-01T00:00:00"/>
        <d v="2025-12-01T00:00:00"/>
        <d v="2026-01-01T00:00:00"/>
        <d v="2026-02-01T00:00:00"/>
        <d v="2026-03-01T00:00:00"/>
      </sharedItems>
    </cacheField>
    <cacheField name="ActualSpendThatMonth" numFmtId="165">
      <sharedItems containsSemiMixedTypes="0" containsString="0" containsNumber="1" containsInteger="1" minValue="5960" maxValue="2811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PRJ-001"/>
    <x v="0"/>
    <x v="0"/>
    <s v="S. Iyer"/>
    <d v="2025-04-12T00:00:00"/>
    <d v="2025-07-12T00:00:00"/>
    <n v="154000"/>
    <n v="173200"/>
    <n v="-19200"/>
    <n v="1.1246753246753247"/>
    <x v="0"/>
    <x v="0"/>
  </r>
  <r>
    <s v="PRJ-002"/>
    <x v="1"/>
    <x v="1"/>
    <s v="A. Mehta"/>
    <d v="2025-01-23T00:00:00"/>
    <d v="2025-10-23T00:00:00"/>
    <n v="508000"/>
    <n v="304200"/>
    <n v="203800"/>
    <n v="0.59881889763779528"/>
    <x v="0"/>
    <x v="1"/>
  </r>
  <r>
    <s v="PRJ-003"/>
    <x v="2"/>
    <x v="2"/>
    <s v="K. Padilla"/>
    <d v="2025-05-30T00:00:00"/>
    <d v="2025-08-30T00:00:00"/>
    <n v="670000"/>
    <n v="643100"/>
    <n v="26900"/>
    <n v="0.95985074626865674"/>
    <x v="0"/>
    <x v="1"/>
  </r>
  <r>
    <s v="PRJ-004"/>
    <x v="3"/>
    <x v="3"/>
    <s v="J. Ncube"/>
    <d v="2025-04-18T00:00:00"/>
    <d v="2025-09-18T00:00:00"/>
    <n v="633000"/>
    <n v="400300"/>
    <n v="232700"/>
    <n v="0.63238546603475509"/>
    <x v="0"/>
    <x v="0"/>
  </r>
  <r>
    <s v="PRJ-005"/>
    <x v="4"/>
    <x v="3"/>
    <s v="R. Fernandes"/>
    <d v="2025-05-29T00:00:00"/>
    <d v="2025-11-29T00:00:00"/>
    <n v="461000"/>
    <n v="285000"/>
    <n v="176000"/>
    <n v="0.61822125813449025"/>
    <x v="1"/>
    <x v="0"/>
  </r>
  <r>
    <s v="PRJ-006"/>
    <x v="5"/>
    <x v="1"/>
    <s v="M. Choudhury"/>
    <d v="2025-05-17T00:00:00"/>
    <d v="2026-02-17T00:00:00"/>
    <n v="875000"/>
    <n v="673700"/>
    <n v="201300"/>
    <n v="0.76994285714285715"/>
    <x v="1"/>
    <x v="0"/>
  </r>
  <r>
    <s v="PRJ-007"/>
    <x v="6"/>
    <x v="4"/>
    <s v="K. Padilla"/>
    <d v="2025-02-16T00:00:00"/>
    <d v="2025-08-16T00:00:00"/>
    <n v="163000"/>
    <n v="155200"/>
    <n v="7800"/>
    <n v="0.95214723926380374"/>
    <x v="0"/>
    <x v="2"/>
  </r>
  <r>
    <s v="PRJ-008"/>
    <x v="7"/>
    <x v="5"/>
    <s v="J. Ncube"/>
    <d v="2025-01-19T00:00:00"/>
    <d v="2025-05-19T00:00:00"/>
    <n v="604000"/>
    <n v="509000"/>
    <n v="95000"/>
    <n v="0.8427152317880795"/>
    <x v="1"/>
    <x v="1"/>
  </r>
  <r>
    <s v="PRJ-009"/>
    <x v="8"/>
    <x v="5"/>
    <s v="P. Osei"/>
    <d v="2025-01-11T00:00:00"/>
    <d v="2025-05-11T00:00:00"/>
    <n v="862000"/>
    <n v="810800"/>
    <n v="51200"/>
    <n v="0.94060324825986075"/>
    <x v="1"/>
    <x v="0"/>
  </r>
  <r>
    <s v="PRJ-010"/>
    <x v="9"/>
    <x v="0"/>
    <s v="L. Duarte"/>
    <d v="2025-05-08T00:00:00"/>
    <d v="2026-03-08T00:00:00"/>
    <n v="150000"/>
    <n v="170700"/>
    <n v="-20700"/>
    <n v="1.1379999999999999"/>
    <x v="2"/>
    <x v="0"/>
  </r>
  <r>
    <s v="PRJ-011"/>
    <x v="10"/>
    <x v="2"/>
    <s v="A. Mehta"/>
    <d v="2025-03-21T00:00:00"/>
    <d v="2026-01-21T00:00:00"/>
    <n v="371000"/>
    <n v="390200"/>
    <n v="-19200"/>
    <n v="1.0517520215633422"/>
    <x v="2"/>
    <x v="1"/>
  </r>
  <r>
    <s v="PRJ-012"/>
    <x v="11"/>
    <x v="5"/>
    <s v="L. Duarte"/>
    <d v="2025-02-13T00:00:00"/>
    <d v="2025-06-13T00:00:00"/>
    <n v="585000"/>
    <n v="345900"/>
    <n v="239100"/>
    <n v="0.59128205128205125"/>
    <x v="1"/>
    <x v="1"/>
  </r>
  <r>
    <s v="PRJ-013"/>
    <x v="12"/>
    <x v="1"/>
    <s v="P. Osei"/>
    <d v="2025-04-11T00:00:00"/>
    <d v="2026-02-11T00:00:00"/>
    <n v="162000"/>
    <n v="108000"/>
    <n v="54000"/>
    <n v="0.66666666666666663"/>
    <x v="0"/>
    <x v="1"/>
  </r>
  <r>
    <s v="PRJ-014"/>
    <x v="13"/>
    <x v="3"/>
    <s v="P. Osei"/>
    <d v="2025-05-21T00:00:00"/>
    <d v="2025-12-21T00:00:00"/>
    <n v="803000"/>
    <n v="675100"/>
    <n v="127900"/>
    <n v="0.84072229140722288"/>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
  <r>
    <x v="0"/>
    <s v="Data Warehouse Modernization"/>
    <d v="2025-05-01T00:00:00"/>
    <n v="60"/>
    <n v="45"/>
    <n v="0.75"/>
  </r>
  <r>
    <x v="0"/>
    <s v="Data Warehouse Modernization"/>
    <d v="2025-06-01T00:00:00"/>
    <n v="60"/>
    <n v="36"/>
    <n v="0.6"/>
  </r>
  <r>
    <x v="0"/>
    <s v="Data Warehouse Modernization"/>
    <d v="2025-07-01T00:00:00"/>
    <n v="120"/>
    <n v="86"/>
    <n v="0.71666666666666667"/>
  </r>
  <r>
    <x v="0"/>
    <s v="Claims Automation"/>
    <d v="2025-01-01T00:00:00"/>
    <n v="40"/>
    <n v="28"/>
    <n v="0.7"/>
  </r>
  <r>
    <x v="0"/>
    <s v="Claims Automation"/>
    <d v="2025-02-01T00:00:00"/>
    <n v="120"/>
    <n v="101"/>
    <n v="0.84166666666666667"/>
  </r>
  <r>
    <x v="0"/>
    <s v="Claims Automation"/>
    <d v="2025-03-01T00:00:00"/>
    <n v="120"/>
    <n v="97"/>
    <n v="0.80833333333333335"/>
  </r>
  <r>
    <x v="0"/>
    <s v="Claims Automation"/>
    <d v="2025-04-01T00:00:00"/>
    <n v="60"/>
    <n v="63"/>
    <n v="1.05"/>
  </r>
  <r>
    <x v="1"/>
    <s v="Fraud Detection Enhancement"/>
    <d v="2025-05-01T00:00:00"/>
    <n v="160"/>
    <n v="179"/>
    <n v="1.1187499999999999"/>
  </r>
  <r>
    <x v="1"/>
    <s v="Fraud Detection Enhancement"/>
    <d v="2025-06-01T00:00:00"/>
    <n v="100"/>
    <n v="86"/>
    <n v="0.86"/>
  </r>
  <r>
    <x v="1"/>
    <s v="Fraud Detection Enhancement"/>
    <d v="2025-07-01T00:00:00"/>
    <n v="100"/>
    <n v="67"/>
    <n v="0.67"/>
  </r>
  <r>
    <x v="1"/>
    <s v="Fraud Detection Enhancement"/>
    <d v="2025-08-01T00:00:00"/>
    <n v="160"/>
    <n v="138"/>
    <n v="0.86250000000000004"/>
  </r>
  <r>
    <x v="1"/>
    <s v="Fraud Detection Enhancement"/>
    <d v="2025-09-01T00:00:00"/>
    <n v="60"/>
    <n v="39"/>
    <n v="0.65"/>
  </r>
  <r>
    <x v="1"/>
    <s v="Supply Chain Visibility"/>
    <d v="2025-03-01T00:00:00"/>
    <n v="100"/>
    <n v="71"/>
    <n v="0.71"/>
  </r>
  <r>
    <x v="1"/>
    <s v="Supply Chain Visibility"/>
    <d v="2025-04-01T00:00:00"/>
    <n v="80"/>
    <n v="79"/>
    <n v="0.98750000000000004"/>
  </r>
  <r>
    <x v="1"/>
    <s v="Supply Chain Visibility"/>
    <d v="2025-05-01T00:00:00"/>
    <n v="40"/>
    <n v="24"/>
    <n v="0.6"/>
  </r>
  <r>
    <x v="1"/>
    <s v="Master Data Governance"/>
    <d v="2025-04-01T00:00:00"/>
    <n v="120"/>
    <n v="80"/>
    <n v="0.66666666666666663"/>
  </r>
  <r>
    <x v="1"/>
    <s v="Master Data Governance"/>
    <d v="2025-05-01T00:00:00"/>
    <n v="80"/>
    <n v="80"/>
    <n v="1"/>
  </r>
  <r>
    <x v="1"/>
    <s v="Master Data Governance"/>
    <d v="2025-06-01T00:00:00"/>
    <n v="40"/>
    <n v="47"/>
    <n v="1.175"/>
  </r>
  <r>
    <x v="1"/>
    <s v="Core Banking Migration"/>
    <d v="2025-04-01T00:00:00"/>
    <n v="60"/>
    <n v="61"/>
    <n v="1.0166666666666666"/>
  </r>
  <r>
    <x v="1"/>
    <s v="Core Banking Migration"/>
    <d v="2025-05-01T00:00:00"/>
    <n v="80"/>
    <n v="79"/>
    <n v="0.98750000000000004"/>
  </r>
  <r>
    <x v="1"/>
    <s v="Core Banking Migration"/>
    <d v="2025-06-01T00:00:00"/>
    <n v="100"/>
    <n v="68"/>
    <n v="0.68"/>
  </r>
  <r>
    <x v="1"/>
    <s v="Core Banking Migration"/>
    <d v="2025-07-01T00:00:00"/>
    <n v="100"/>
    <n v="125"/>
    <n v="1.25"/>
  </r>
  <r>
    <x v="1"/>
    <s v="Core Banking Migration"/>
    <d v="2025-08-01T00:00:00"/>
    <n v="100"/>
    <n v="91"/>
    <n v="0.91"/>
  </r>
  <r>
    <x v="2"/>
    <s v="Claims Automation"/>
    <d v="2025-01-01T00:00:00"/>
    <n v="160"/>
    <n v="124"/>
    <n v="0.77500000000000002"/>
  </r>
  <r>
    <x v="2"/>
    <s v="Claims Automation"/>
    <d v="2025-02-01T00:00:00"/>
    <n v="160"/>
    <n v="113"/>
    <n v="0.70625000000000004"/>
  </r>
  <r>
    <x v="2"/>
    <s v="Claims Automation"/>
    <d v="2025-03-01T00:00:00"/>
    <n v="40"/>
    <n v="29"/>
    <n v="0.72499999999999998"/>
  </r>
  <r>
    <x v="2"/>
    <s v="Claims Automation"/>
    <d v="2025-04-01T00:00:00"/>
    <n v="120"/>
    <n v="100"/>
    <n v="0.83333333333333337"/>
  </r>
  <r>
    <x v="2"/>
    <s v="Data Warehouse Modernization"/>
    <d v="2025-05-01T00:00:00"/>
    <n v="120"/>
    <n v="95"/>
    <n v="0.79166666666666663"/>
  </r>
  <r>
    <x v="2"/>
    <s v="Data Warehouse Modernization"/>
    <d v="2025-06-01T00:00:00"/>
    <n v="160"/>
    <n v="186"/>
    <n v="1.1625000000000001"/>
  </r>
  <r>
    <x v="2"/>
    <s v="Network Resilience Program"/>
    <d v="2025-05-01T00:00:00"/>
    <n v="120"/>
    <n v="101"/>
    <n v="0.84166666666666667"/>
  </r>
  <r>
    <x v="2"/>
    <s v="Network Resilience Program"/>
    <d v="2025-06-01T00:00:00"/>
    <n v="60"/>
    <n v="50"/>
    <n v="0.83333333333333337"/>
  </r>
  <r>
    <x v="2"/>
    <s v="Network Resilience Program"/>
    <d v="2025-07-01T00:00:00"/>
    <n v="60"/>
    <n v="57"/>
    <n v="0.95"/>
  </r>
  <r>
    <x v="2"/>
    <s v="Network Resilience Program"/>
    <d v="2025-08-01T00:00:00"/>
    <n v="120"/>
    <n v="98"/>
    <n v="0.81666666666666665"/>
  </r>
  <r>
    <x v="3"/>
    <s v="Fraud Detection Enhancement"/>
    <d v="2025-05-01T00:00:00"/>
    <n v="60"/>
    <n v="68"/>
    <n v="1.1333333333333333"/>
  </r>
  <r>
    <x v="3"/>
    <s v="Fraud Detection Enhancement"/>
    <d v="2025-06-01T00:00:00"/>
    <n v="160"/>
    <n v="180"/>
    <n v="1.125"/>
  </r>
  <r>
    <x v="3"/>
    <s v="Fraud Detection Enhancement"/>
    <d v="2025-07-01T00:00:00"/>
    <n v="60"/>
    <n v="56"/>
    <n v="0.93333333333333335"/>
  </r>
  <r>
    <x v="3"/>
    <s v="Master Data Governance"/>
    <d v="2025-04-01T00:00:00"/>
    <n v="160"/>
    <n v="99"/>
    <n v="0.61875000000000002"/>
  </r>
  <r>
    <x v="3"/>
    <s v="Master Data Governance"/>
    <d v="2025-05-01T00:00:00"/>
    <n v="40"/>
    <n v="45"/>
    <n v="1.125"/>
  </r>
  <r>
    <x v="3"/>
    <s v="Master Data Governance"/>
    <d v="2025-06-01T00:00:00"/>
    <n v="100"/>
    <n v="77"/>
    <n v="0.77"/>
  </r>
  <r>
    <x v="3"/>
    <s v="Master Data Governance"/>
    <d v="2025-07-01T00:00:00"/>
    <n v="160"/>
    <n v="159"/>
    <n v="0.99375000000000002"/>
  </r>
  <r>
    <x v="4"/>
    <s v="HR System Consolidation"/>
    <d v="2025-01-01T00:00:00"/>
    <n v="80"/>
    <n v="52"/>
    <n v="0.65"/>
  </r>
  <r>
    <x v="4"/>
    <s v="HR System Consolidation"/>
    <d v="2025-02-01T00:00:00"/>
    <n v="40"/>
    <n v="30"/>
    <n v="0.75"/>
  </r>
  <r>
    <x v="4"/>
    <s v="HR System Consolidation"/>
    <d v="2025-03-01T00:00:00"/>
    <n v="60"/>
    <n v="49"/>
    <n v="0.81666666666666665"/>
  </r>
  <r>
    <x v="4"/>
    <s v="HR System Consolidation"/>
    <d v="2025-04-01T00:00:00"/>
    <n v="100"/>
    <n v="101"/>
    <n v="1.01"/>
  </r>
  <r>
    <x v="4"/>
    <s v="Master Data Governance"/>
    <d v="2025-04-01T00:00:00"/>
    <n v="100"/>
    <n v="119"/>
    <n v="1.19"/>
  </r>
  <r>
    <x v="4"/>
    <s v="Master Data Governance"/>
    <d v="2025-05-01T00:00:00"/>
    <n v="80"/>
    <n v="90"/>
    <n v="1.125"/>
  </r>
  <r>
    <x v="4"/>
    <s v="Digital Onboarding"/>
    <d v="2025-02-01T00:00:00"/>
    <n v="160"/>
    <n v="108"/>
    <n v="0.67500000000000004"/>
  </r>
  <r>
    <x v="4"/>
    <s v="Digital Onboarding"/>
    <d v="2025-03-01T00:00:00"/>
    <n v="100"/>
    <n v="111"/>
    <n v="1.1100000000000001"/>
  </r>
  <r>
    <x v="5"/>
    <s v="HR System Consolidation"/>
    <d v="2025-01-01T00:00:00"/>
    <n v="160"/>
    <n v="131"/>
    <n v="0.81874999999999998"/>
  </r>
  <r>
    <x v="5"/>
    <s v="HR System Consolidation"/>
    <d v="2025-02-01T00:00:00"/>
    <n v="160"/>
    <n v="137"/>
    <n v="0.85624999999999996"/>
  </r>
  <r>
    <x v="5"/>
    <s v="HR System Consolidation"/>
    <d v="2025-03-01T00:00:00"/>
    <n v="100"/>
    <n v="108"/>
    <n v="1.08"/>
  </r>
  <r>
    <x v="5"/>
    <s v="HR System Consolidation"/>
    <d v="2025-04-01T00:00:00"/>
    <n v="40"/>
    <n v="43"/>
    <n v="1.075"/>
  </r>
  <r>
    <x v="5"/>
    <s v="HR System Consolidation"/>
    <d v="2025-05-01T00:00:00"/>
    <n v="60"/>
    <n v="75"/>
    <n v="1.25"/>
  </r>
  <r>
    <x v="5"/>
    <s v="Data Warehouse Modernization"/>
    <d v="2025-05-01T00:00:00"/>
    <n v="60"/>
    <n v="59"/>
    <n v="0.98333333333333328"/>
  </r>
  <r>
    <x v="5"/>
    <s v="Data Warehouse Modernization"/>
    <d v="2025-06-01T00:00:00"/>
    <n v="100"/>
    <n v="112"/>
    <n v="1.1200000000000001"/>
  </r>
  <r>
    <x v="6"/>
    <s v="Fraud Detection Enhancement"/>
    <d v="2025-05-01T00:00:00"/>
    <n v="160"/>
    <n v="193"/>
    <n v="1.20625"/>
  </r>
  <r>
    <x v="6"/>
    <s v="Fraud Detection Enhancement"/>
    <d v="2025-06-01T00:00:00"/>
    <n v="60"/>
    <n v="57"/>
    <n v="0.95"/>
  </r>
  <r>
    <x v="6"/>
    <s v="Fraud Detection Enhancement"/>
    <d v="2025-07-01T00:00:00"/>
    <n v="60"/>
    <n v="37"/>
    <n v="0.6166666666666667"/>
  </r>
  <r>
    <x v="6"/>
    <s v="Fraud Detection Enhancement"/>
    <d v="2025-08-01T00:00:00"/>
    <n v="160"/>
    <n v="164"/>
    <n v="1.0249999999999999"/>
  </r>
  <r>
    <x v="6"/>
    <s v="Fraud Detection Enhancement"/>
    <d v="2025-09-01T00:00:00"/>
    <n v="120"/>
    <n v="130"/>
    <n v="1.0833333333333333"/>
  </r>
  <r>
    <x v="6"/>
    <s v="Network Resilience Program"/>
    <d v="2025-05-01T00:00:00"/>
    <n v="100"/>
    <n v="124"/>
    <n v="1.24"/>
  </r>
  <r>
    <x v="6"/>
    <s v="Network Resilience Program"/>
    <d v="2025-06-01T00:00:00"/>
    <n v="60"/>
    <n v="68"/>
    <n v="1.1333333333333333"/>
  </r>
  <r>
    <x v="6"/>
    <s v="Network Resilience Program"/>
    <d v="2025-07-01T00:00:00"/>
    <n v="60"/>
    <n v="37"/>
    <n v="0.6166666666666667"/>
  </r>
  <r>
    <x v="7"/>
    <s v="Regulatory Reporting Upgrade"/>
    <d v="2025-05-01T00:00:00"/>
    <n v="120"/>
    <n v="97"/>
    <n v="0.80833333333333335"/>
  </r>
  <r>
    <x v="7"/>
    <s v="Regulatory Reporting Upgrade"/>
    <d v="2025-06-01T00:00:00"/>
    <n v="120"/>
    <n v="105"/>
    <n v="0.875"/>
  </r>
  <r>
    <x v="7"/>
    <s v="Regulatory Reporting Upgrade"/>
    <d v="2025-07-01T00:00:00"/>
    <n v="60"/>
    <n v="38"/>
    <n v="0.6333333333333333"/>
  </r>
  <r>
    <x v="7"/>
    <s v="Cloud Cost Optimization"/>
    <d v="2025-01-01T00:00:00"/>
    <n v="100"/>
    <n v="103"/>
    <n v="1.03"/>
  </r>
  <r>
    <x v="7"/>
    <s v="Cloud Cost Optimization"/>
    <d v="2025-02-01T00:00:00"/>
    <n v="120"/>
    <n v="105"/>
    <n v="0.875"/>
  </r>
  <r>
    <x v="7"/>
    <s v="Cloud Cost Optimization"/>
    <d v="2025-03-01T00:00:00"/>
    <n v="120"/>
    <n v="82"/>
    <n v="0.68333333333333335"/>
  </r>
  <r>
    <x v="7"/>
    <s v="Cloud Cost Optimization"/>
    <d v="2025-04-01T00:00:00"/>
    <n v="60"/>
    <n v="56"/>
    <n v="0.93333333333333335"/>
  </r>
  <r>
    <x v="8"/>
    <s v="Network Resilience Program"/>
    <d v="2025-05-01T00:00:00"/>
    <n v="120"/>
    <n v="72"/>
    <n v="0.6"/>
  </r>
  <r>
    <x v="8"/>
    <s v="Network Resilience Program"/>
    <d v="2025-06-01T00:00:00"/>
    <n v="60"/>
    <n v="43"/>
    <n v="0.71666666666666667"/>
  </r>
  <r>
    <x v="8"/>
    <s v="Network Resilience Program"/>
    <d v="2025-07-01T00:00:00"/>
    <n v="100"/>
    <n v="100"/>
    <n v="1"/>
  </r>
  <r>
    <x v="8"/>
    <s v="HR System Consolidation"/>
    <d v="2025-01-01T00:00:00"/>
    <n v="120"/>
    <n v="77"/>
    <n v="0.64166666666666672"/>
  </r>
  <r>
    <x v="8"/>
    <s v="HR System Consolidation"/>
    <d v="2025-02-01T00:00:00"/>
    <n v="160"/>
    <n v="150"/>
    <n v="0.9375"/>
  </r>
  <r>
    <x v="9"/>
    <s v="HR System Consolidation"/>
    <d v="2025-01-01T00:00:00"/>
    <n v="60"/>
    <n v="43"/>
    <n v="0.71666666666666667"/>
  </r>
  <r>
    <x v="9"/>
    <s v="HR System Consolidation"/>
    <d v="2025-02-01T00:00:00"/>
    <n v="40"/>
    <n v="44"/>
    <n v="1.1000000000000001"/>
  </r>
  <r>
    <x v="9"/>
    <s v="Master Data Governance"/>
    <d v="2025-04-01T00:00:00"/>
    <n v="120"/>
    <n v="74"/>
    <n v="0.6166666666666667"/>
  </r>
  <r>
    <x v="9"/>
    <s v="Master Data Governance"/>
    <d v="2025-05-01T00:00:00"/>
    <n v="40"/>
    <n v="36"/>
    <n v="0.9"/>
  </r>
  <r>
    <x v="9"/>
    <s v="Master Data Governance"/>
    <d v="2025-06-01T00:00:00"/>
    <n v="120"/>
    <n v="148"/>
    <n v="1.2333333333333334"/>
  </r>
  <r>
    <x v="9"/>
    <s v="Master Data Governance"/>
    <d v="2025-07-01T00:00:00"/>
    <n v="120"/>
    <n v="112"/>
    <n v="0.93333333333333335"/>
  </r>
  <r>
    <x v="9"/>
    <s v="Master Data Governance"/>
    <d v="2025-08-01T00:00:00"/>
    <n v="160"/>
    <n v="125"/>
    <n v="0.78125"/>
  </r>
  <r>
    <x v="9"/>
    <s v="Claims Automation"/>
    <d v="2025-01-01T00:00:00"/>
    <n v="120"/>
    <n v="145"/>
    <n v="1.2083333333333333"/>
  </r>
  <r>
    <x v="9"/>
    <s v="Claims Automation"/>
    <d v="2025-02-01T00:00:00"/>
    <n v="160"/>
    <n v="150"/>
    <n v="0.9375"/>
  </r>
  <r>
    <x v="9"/>
    <s v="Claims Automation"/>
    <d v="2025-03-01T00:00:00"/>
    <n v="80"/>
    <n v="96"/>
    <n v="1.2"/>
  </r>
  <r>
    <x v="9"/>
    <s v="Claims Automation"/>
    <d v="2025-04-01T00:00:00"/>
    <n v="60"/>
    <n v="69"/>
    <n v="1.1499999999999999"/>
  </r>
  <r>
    <x v="9"/>
    <s v="Claims Automation"/>
    <d v="2025-05-01T00:00:00"/>
    <n v="60"/>
    <n v="52"/>
    <n v="0.8666666666666667"/>
  </r>
  <r>
    <x v="9"/>
    <s v="Cloud Cost Optimization"/>
    <d v="2025-01-01T00:00:00"/>
    <n v="100"/>
    <n v="81"/>
    <n v="0.81"/>
  </r>
  <r>
    <x v="9"/>
    <s v="Cloud Cost Optimization"/>
    <d v="2025-02-01T00:00:00"/>
    <n v="160"/>
    <n v="121"/>
    <n v="0.75624999999999998"/>
  </r>
  <r>
    <x v="9"/>
    <s v="Cloud Cost Optimization"/>
    <d v="2025-03-01T00:00:00"/>
    <n v="40"/>
    <n v="30"/>
    <n v="0.75"/>
  </r>
  <r>
    <x v="9"/>
    <s v="Cloud Cost Optimization"/>
    <d v="2025-04-01T00:00:00"/>
    <n v="80"/>
    <n v="89"/>
    <n v="1.1125"/>
  </r>
  <r>
    <x v="9"/>
    <s v="Cloud Cost Optimization"/>
    <d v="2025-05-01T00:00:00"/>
    <n v="60"/>
    <n v="73"/>
    <n v="1.216666666666666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s v="PRJ-001"/>
    <s v="Core Banking Migration"/>
    <x v="0"/>
    <n v="58250"/>
  </r>
  <r>
    <s v="PRJ-001"/>
    <s v="Core Banking Migration"/>
    <x v="1"/>
    <n v="44120"/>
  </r>
  <r>
    <s v="PRJ-001"/>
    <s v="Core Banking Migration"/>
    <x v="2"/>
    <n v="38360"/>
  </r>
  <r>
    <s v="PRJ-001"/>
    <s v="Core Banking Migration"/>
    <x v="3"/>
    <n v="32460"/>
  </r>
  <r>
    <s v="PRJ-002"/>
    <s v="Claims Automation"/>
    <x v="4"/>
    <n v="28440"/>
  </r>
  <r>
    <s v="PRJ-002"/>
    <s v="Claims Automation"/>
    <x v="5"/>
    <n v="36630"/>
  </r>
  <r>
    <s v="PRJ-002"/>
    <s v="Claims Automation"/>
    <x v="6"/>
    <n v="17460"/>
  </r>
  <r>
    <s v="PRJ-002"/>
    <s v="Claims Automation"/>
    <x v="0"/>
    <n v="40700"/>
  </r>
  <r>
    <s v="PRJ-002"/>
    <s v="Claims Automation"/>
    <x v="1"/>
    <n v="19480"/>
  </r>
  <r>
    <s v="PRJ-002"/>
    <s v="Claims Automation"/>
    <x v="2"/>
    <n v="34320"/>
  </r>
  <r>
    <s v="PRJ-002"/>
    <s v="Claims Automation"/>
    <x v="3"/>
    <n v="21270"/>
  </r>
  <r>
    <s v="PRJ-002"/>
    <s v="Claims Automation"/>
    <x v="7"/>
    <n v="35450"/>
  </r>
  <r>
    <s v="PRJ-002"/>
    <s v="Claims Automation"/>
    <x v="8"/>
    <n v="43900"/>
  </r>
  <r>
    <s v="PRJ-002"/>
    <s v="Claims Automation"/>
    <x v="9"/>
    <n v="26560"/>
  </r>
  <r>
    <s v="PRJ-003"/>
    <s v="Data Warehouse Modernization"/>
    <x v="1"/>
    <n v="183090"/>
  </r>
  <r>
    <s v="PRJ-003"/>
    <s v="Data Warehouse Modernization"/>
    <x v="2"/>
    <n v="170240"/>
  </r>
  <r>
    <s v="PRJ-003"/>
    <s v="Data Warehouse Modernization"/>
    <x v="3"/>
    <n v="117690"/>
  </r>
  <r>
    <s v="PRJ-003"/>
    <s v="Data Warehouse Modernization"/>
    <x v="7"/>
    <n v="172090"/>
  </r>
  <r>
    <s v="PRJ-004"/>
    <s v="Customer Portal Revamp"/>
    <x v="0"/>
    <n v="58880"/>
  </r>
  <r>
    <s v="PRJ-004"/>
    <s v="Customer Portal Revamp"/>
    <x v="1"/>
    <n v="67360"/>
  </r>
  <r>
    <s v="PRJ-004"/>
    <s v="Customer Portal Revamp"/>
    <x v="2"/>
    <n v="84540"/>
  </r>
  <r>
    <s v="PRJ-004"/>
    <s v="Customer Portal Revamp"/>
    <x v="3"/>
    <n v="62140"/>
  </r>
  <r>
    <s v="PRJ-004"/>
    <s v="Customer Portal Revamp"/>
    <x v="7"/>
    <n v="71490"/>
  </r>
  <r>
    <s v="PRJ-004"/>
    <s v="Customer Portal Revamp"/>
    <x v="8"/>
    <n v="55890"/>
  </r>
  <r>
    <s v="PRJ-005"/>
    <s v="Regulatory Reporting Upgrade"/>
    <x v="1"/>
    <n v="59880"/>
  </r>
  <r>
    <s v="PRJ-005"/>
    <s v="Regulatory Reporting Upgrade"/>
    <x v="2"/>
    <n v="25120"/>
  </r>
  <r>
    <s v="PRJ-005"/>
    <s v="Regulatory Reporting Upgrade"/>
    <x v="3"/>
    <n v="58140"/>
  </r>
  <r>
    <s v="PRJ-005"/>
    <s v="Regulatory Reporting Upgrade"/>
    <x v="7"/>
    <n v="29860"/>
  </r>
  <r>
    <s v="PRJ-005"/>
    <s v="Regulatory Reporting Upgrade"/>
    <x v="8"/>
    <n v="56420"/>
  </r>
  <r>
    <s v="PRJ-005"/>
    <s v="Regulatory Reporting Upgrade"/>
    <x v="9"/>
    <n v="23940"/>
  </r>
  <r>
    <s v="PRJ-005"/>
    <s v="Regulatory Reporting Upgrade"/>
    <x v="10"/>
    <n v="31640"/>
  </r>
  <r>
    <s v="PRJ-006"/>
    <s v="ERP Rollout"/>
    <x v="1"/>
    <n v="81710"/>
  </r>
  <r>
    <s v="PRJ-006"/>
    <s v="ERP Rollout"/>
    <x v="2"/>
    <n v="39610"/>
  </r>
  <r>
    <s v="PRJ-006"/>
    <s v="ERP Rollout"/>
    <x v="3"/>
    <n v="72980"/>
  </r>
  <r>
    <s v="PRJ-006"/>
    <s v="ERP Rollout"/>
    <x v="7"/>
    <n v="76700"/>
  </r>
  <r>
    <s v="PRJ-006"/>
    <s v="ERP Rollout"/>
    <x v="8"/>
    <n v="78440"/>
  </r>
  <r>
    <s v="PRJ-006"/>
    <s v="ERP Rollout"/>
    <x v="9"/>
    <n v="68350"/>
  </r>
  <r>
    <s v="PRJ-006"/>
    <s v="ERP Rollout"/>
    <x v="10"/>
    <n v="84040"/>
  </r>
  <r>
    <s v="PRJ-006"/>
    <s v="ERP Rollout"/>
    <x v="11"/>
    <n v="52650"/>
  </r>
  <r>
    <s v="PRJ-006"/>
    <s v="ERP Rollout"/>
    <x v="12"/>
    <n v="60250"/>
  </r>
  <r>
    <s v="PRJ-006"/>
    <s v="ERP Rollout"/>
    <x v="13"/>
    <n v="58980"/>
  </r>
  <r>
    <s v="PRJ-007"/>
    <s v="Payments Platform Refresh"/>
    <x v="5"/>
    <n v="22880"/>
  </r>
  <r>
    <s v="PRJ-007"/>
    <s v="Payments Platform Refresh"/>
    <x v="6"/>
    <n v="19020"/>
  </r>
  <r>
    <s v="PRJ-007"/>
    <s v="Payments Platform Refresh"/>
    <x v="0"/>
    <n v="17920"/>
  </r>
  <r>
    <s v="PRJ-007"/>
    <s v="Payments Platform Refresh"/>
    <x v="1"/>
    <n v="29890"/>
  </r>
  <r>
    <s v="PRJ-007"/>
    <s v="Payments Platform Refresh"/>
    <x v="2"/>
    <n v="15720"/>
  </r>
  <r>
    <s v="PRJ-007"/>
    <s v="Payments Platform Refresh"/>
    <x v="3"/>
    <n v="32090"/>
  </r>
  <r>
    <s v="PRJ-007"/>
    <s v="Payments Platform Refresh"/>
    <x v="7"/>
    <n v="17690"/>
  </r>
  <r>
    <s v="PRJ-008"/>
    <s v="HR System Consolidation"/>
    <x v="4"/>
    <n v="71170"/>
  </r>
  <r>
    <s v="PRJ-008"/>
    <s v="HR System Consolidation"/>
    <x v="5"/>
    <n v="81040"/>
  </r>
  <r>
    <s v="PRJ-008"/>
    <s v="HR System Consolidation"/>
    <x v="6"/>
    <n v="104730"/>
  </r>
  <r>
    <s v="PRJ-008"/>
    <s v="HR System Consolidation"/>
    <x v="0"/>
    <n v="152590"/>
  </r>
  <r>
    <s v="PRJ-008"/>
    <s v="HR System Consolidation"/>
    <x v="1"/>
    <n v="99470"/>
  </r>
  <r>
    <s v="PRJ-009"/>
    <s v="Cloud Cost Optimization"/>
    <x v="4"/>
    <n v="143820"/>
  </r>
  <r>
    <s v="PRJ-009"/>
    <s v="Cloud Cost Optimization"/>
    <x v="5"/>
    <n v="116960"/>
  </r>
  <r>
    <s v="PRJ-009"/>
    <s v="Cloud Cost Optimization"/>
    <x v="6"/>
    <n v="96240"/>
  </r>
  <r>
    <s v="PRJ-009"/>
    <s v="Cloud Cost Optimization"/>
    <x v="0"/>
    <n v="281130"/>
  </r>
  <r>
    <s v="PRJ-009"/>
    <s v="Cloud Cost Optimization"/>
    <x v="1"/>
    <n v="172660"/>
  </r>
  <r>
    <s v="PRJ-010"/>
    <s v="Fraud Detection Enhancement"/>
    <x v="1"/>
    <n v="19750"/>
  </r>
  <r>
    <s v="PRJ-010"/>
    <s v="Fraud Detection Enhancement"/>
    <x v="2"/>
    <n v="15650"/>
  </r>
  <r>
    <s v="PRJ-010"/>
    <s v="Fraud Detection Enhancement"/>
    <x v="3"/>
    <n v="7580"/>
  </r>
  <r>
    <s v="PRJ-010"/>
    <s v="Fraud Detection Enhancement"/>
    <x v="7"/>
    <n v="16880"/>
  </r>
  <r>
    <s v="PRJ-010"/>
    <s v="Fraud Detection Enhancement"/>
    <x v="8"/>
    <n v="20070"/>
  </r>
  <r>
    <s v="PRJ-010"/>
    <s v="Fraud Detection Enhancement"/>
    <x v="9"/>
    <n v="20500"/>
  </r>
  <r>
    <s v="PRJ-010"/>
    <s v="Fraud Detection Enhancement"/>
    <x v="10"/>
    <n v="10630"/>
  </r>
  <r>
    <s v="PRJ-010"/>
    <s v="Fraud Detection Enhancement"/>
    <x v="11"/>
    <n v="9510"/>
  </r>
  <r>
    <s v="PRJ-010"/>
    <s v="Fraud Detection Enhancement"/>
    <x v="12"/>
    <n v="19990"/>
  </r>
  <r>
    <s v="PRJ-010"/>
    <s v="Fraud Detection Enhancement"/>
    <x v="13"/>
    <n v="15750"/>
  </r>
  <r>
    <s v="PRJ-010"/>
    <s v="Fraud Detection Enhancement"/>
    <x v="14"/>
    <n v="14390"/>
  </r>
  <r>
    <s v="PRJ-011"/>
    <s v="Supply Chain Visibility"/>
    <x v="6"/>
    <n v="25160"/>
  </r>
  <r>
    <s v="PRJ-011"/>
    <s v="Supply Chain Visibility"/>
    <x v="0"/>
    <n v="33710"/>
  </r>
  <r>
    <s v="PRJ-011"/>
    <s v="Supply Chain Visibility"/>
    <x v="1"/>
    <n v="41790"/>
  </r>
  <r>
    <s v="PRJ-011"/>
    <s v="Supply Chain Visibility"/>
    <x v="2"/>
    <n v="27470"/>
  </r>
  <r>
    <s v="PRJ-011"/>
    <s v="Supply Chain Visibility"/>
    <x v="3"/>
    <n v="46470"/>
  </r>
  <r>
    <s v="PRJ-011"/>
    <s v="Supply Chain Visibility"/>
    <x v="7"/>
    <n v="53280"/>
  </r>
  <r>
    <s v="PRJ-011"/>
    <s v="Supply Chain Visibility"/>
    <x v="8"/>
    <n v="19140"/>
  </r>
  <r>
    <s v="PRJ-011"/>
    <s v="Supply Chain Visibility"/>
    <x v="9"/>
    <n v="18480"/>
  </r>
  <r>
    <s v="PRJ-011"/>
    <s v="Supply Chain Visibility"/>
    <x v="10"/>
    <n v="35850"/>
  </r>
  <r>
    <s v="PRJ-011"/>
    <s v="Supply Chain Visibility"/>
    <x v="11"/>
    <n v="52690"/>
  </r>
  <r>
    <s v="PRJ-011"/>
    <s v="Supply Chain Visibility"/>
    <x v="12"/>
    <n v="36160"/>
  </r>
  <r>
    <s v="PRJ-012"/>
    <s v="Digital Onboarding"/>
    <x v="5"/>
    <n v="50010"/>
  </r>
  <r>
    <s v="PRJ-012"/>
    <s v="Digital Onboarding"/>
    <x v="6"/>
    <n v="63510"/>
  </r>
  <r>
    <s v="PRJ-012"/>
    <s v="Digital Onboarding"/>
    <x v="0"/>
    <n v="77680"/>
  </r>
  <r>
    <s v="PRJ-012"/>
    <s v="Digital Onboarding"/>
    <x v="1"/>
    <n v="77130"/>
  </r>
  <r>
    <s v="PRJ-012"/>
    <s v="Digital Onboarding"/>
    <x v="2"/>
    <n v="77560"/>
  </r>
  <r>
    <s v="PRJ-013"/>
    <s v="Master Data Governance"/>
    <x v="0"/>
    <n v="9740"/>
  </r>
  <r>
    <s v="PRJ-013"/>
    <s v="Master Data Governance"/>
    <x v="1"/>
    <n v="12930"/>
  </r>
  <r>
    <s v="PRJ-013"/>
    <s v="Master Data Governance"/>
    <x v="2"/>
    <n v="13690"/>
  </r>
  <r>
    <s v="PRJ-013"/>
    <s v="Master Data Governance"/>
    <x v="3"/>
    <n v="7520"/>
  </r>
  <r>
    <s v="PRJ-013"/>
    <s v="Master Data Governance"/>
    <x v="7"/>
    <n v="6660"/>
  </r>
  <r>
    <s v="PRJ-013"/>
    <s v="Master Data Governance"/>
    <x v="8"/>
    <n v="6790"/>
  </r>
  <r>
    <s v="PRJ-013"/>
    <s v="Master Data Governance"/>
    <x v="9"/>
    <n v="6510"/>
  </r>
  <r>
    <s v="PRJ-013"/>
    <s v="Master Data Governance"/>
    <x v="10"/>
    <n v="12870"/>
  </r>
  <r>
    <s v="PRJ-013"/>
    <s v="Master Data Governance"/>
    <x v="11"/>
    <n v="11440"/>
  </r>
  <r>
    <s v="PRJ-013"/>
    <s v="Master Data Governance"/>
    <x v="12"/>
    <n v="5960"/>
  </r>
  <r>
    <s v="PRJ-013"/>
    <s v="Master Data Governance"/>
    <x v="13"/>
    <n v="13870"/>
  </r>
  <r>
    <s v="PRJ-014"/>
    <s v="Network Resilience Program"/>
    <x v="1"/>
    <n v="117840"/>
  </r>
  <r>
    <s v="PRJ-014"/>
    <s v="Network Resilience Program"/>
    <x v="2"/>
    <n v="106320"/>
  </r>
  <r>
    <s v="PRJ-014"/>
    <s v="Network Resilience Program"/>
    <x v="3"/>
    <n v="40890"/>
  </r>
  <r>
    <s v="PRJ-014"/>
    <s v="Network Resilience Program"/>
    <x v="7"/>
    <n v="89490"/>
  </r>
  <r>
    <s v="PRJ-014"/>
    <s v="Network Resilience Program"/>
    <x v="8"/>
    <n v="109720"/>
  </r>
  <r>
    <s v="PRJ-014"/>
    <s v="Network Resilience Program"/>
    <x v="9"/>
    <n v="74010"/>
  </r>
  <r>
    <s v="PRJ-014"/>
    <s v="Network Resilience Program"/>
    <x v="10"/>
    <n v="44160"/>
  </r>
  <r>
    <s v="PRJ-014"/>
    <s v="Network Resilience Program"/>
    <x v="11"/>
    <n v="926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1726CA-30FA-4820-BB11-9CDB859BA725}" name="PT_MonthlySpend"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X48:AY64" firstHeaderRow="1" firstDataRow="1" firstDataCol="1"/>
  <pivotFields count="4">
    <pivotField showAll="0"/>
    <pivotField showAll="0"/>
    <pivotField axis="axisRow" numFmtId="167" showAll="0">
      <items count="16">
        <item x="4"/>
        <item x="5"/>
        <item x="6"/>
        <item x="0"/>
        <item x="1"/>
        <item x="2"/>
        <item x="3"/>
        <item x="7"/>
        <item x="8"/>
        <item x="9"/>
        <item x="10"/>
        <item x="11"/>
        <item x="12"/>
        <item x="13"/>
        <item x="14"/>
        <item t="default"/>
      </items>
    </pivotField>
    <pivotField dataField="1" numFmtId="165"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Actual Spend"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15A49C-EEAE-4180-B7E7-D16FBEE56264}" name="PT_RAGSummary"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L48:AM52" firstHeaderRow="1" firstDataRow="1" firstDataCol="1"/>
  <pivotFields count="12">
    <pivotField dataField="1" showAll="0"/>
    <pivotField showAll="0"/>
    <pivotField showAll="0">
      <items count="7">
        <item x="4"/>
        <item x="3"/>
        <item x="0"/>
        <item x="5"/>
        <item x="2"/>
        <item x="1"/>
        <item t="default"/>
      </items>
    </pivotField>
    <pivotField showAll="0"/>
    <pivotField numFmtId="164" showAll="0"/>
    <pivotField numFmtId="164" showAll="0"/>
    <pivotField numFmtId="165" showAll="0"/>
    <pivotField numFmtId="165" showAll="0"/>
    <pivotField numFmtId="165" showAll="0"/>
    <pivotField numFmtId="166" showAll="0"/>
    <pivotField axis="axisRow" showAll="0">
      <items count="4">
        <item x="1"/>
        <item x="0"/>
        <item x="2"/>
        <item t="default"/>
      </items>
    </pivotField>
    <pivotField showAll="0">
      <items count="4">
        <item x="2"/>
        <item x="1"/>
        <item x="0"/>
        <item t="default"/>
      </items>
    </pivotField>
  </pivotFields>
  <rowFields count="1">
    <field x="10"/>
  </rowFields>
  <rowItems count="4">
    <i>
      <x/>
    </i>
    <i>
      <x v="1"/>
    </i>
    <i>
      <x v="2"/>
    </i>
    <i t="grand">
      <x/>
    </i>
  </rowItems>
  <colItems count="1">
    <i/>
  </colItems>
  <dataFields count="1">
    <dataField name="Project Count"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389B50-BF70-4C98-9798-4CC454C0E313}" name="PT_UtilByResourc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Z48:AA59" firstHeaderRow="1" firstDataRow="1" firstDataCol="1"/>
  <pivotFields count="6">
    <pivotField axis="axisRow" showAll="0">
      <items count="11">
        <item x="8"/>
        <item x="3"/>
        <item x="6"/>
        <item x="7"/>
        <item x="2"/>
        <item x="0"/>
        <item x="5"/>
        <item x="9"/>
        <item x="4"/>
        <item x="1"/>
        <item t="default"/>
      </items>
    </pivotField>
    <pivotField showAll="0"/>
    <pivotField numFmtId="167" showAll="0"/>
    <pivotField showAll="0"/>
    <pivotField showAll="0"/>
    <pivotField dataField="1" numFmtId="166" showAll="0"/>
  </pivotFields>
  <rowFields count="1">
    <field x="0"/>
  </rowFields>
  <rowItems count="11">
    <i>
      <x/>
    </i>
    <i>
      <x v="1"/>
    </i>
    <i>
      <x v="2"/>
    </i>
    <i>
      <x v="3"/>
    </i>
    <i>
      <x v="4"/>
    </i>
    <i>
      <x v="5"/>
    </i>
    <i>
      <x v="6"/>
    </i>
    <i>
      <x v="7"/>
    </i>
    <i>
      <x v="8"/>
    </i>
    <i>
      <x v="9"/>
    </i>
    <i t="grand">
      <x/>
    </i>
  </rowItems>
  <colItems count="1">
    <i/>
  </colItems>
  <dataFields count="1">
    <dataField name="Avg Utilization" fld="5"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74720F-93DF-45BD-A03C-FCF097914558}" name="PT_VarianceByProjec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8:O63" firstHeaderRow="1" firstDataRow="1" firstDataCol="1"/>
  <pivotFields count="12">
    <pivotField showAll="0"/>
    <pivotField axis="axisRow" showAll="0">
      <items count="15">
        <item x="1"/>
        <item x="8"/>
        <item x="0"/>
        <item x="3"/>
        <item x="2"/>
        <item x="11"/>
        <item x="5"/>
        <item x="9"/>
        <item x="7"/>
        <item x="12"/>
        <item x="13"/>
        <item x="6"/>
        <item x="4"/>
        <item x="10"/>
        <item t="default"/>
      </items>
    </pivotField>
    <pivotField showAll="0">
      <items count="7">
        <item x="4"/>
        <item x="3"/>
        <item x="0"/>
        <item x="5"/>
        <item x="2"/>
        <item x="1"/>
        <item t="default"/>
      </items>
    </pivotField>
    <pivotField showAll="0"/>
    <pivotField numFmtId="164" showAll="0"/>
    <pivotField numFmtId="164" showAll="0"/>
    <pivotField numFmtId="165" showAll="0"/>
    <pivotField numFmtId="165" showAll="0"/>
    <pivotField dataField="1" numFmtId="165" showAll="0"/>
    <pivotField numFmtId="166" showAll="0"/>
    <pivotField showAll="0"/>
    <pivotField showAll="0">
      <items count="4">
        <item x="2"/>
        <item x="1"/>
        <item x="0"/>
        <item t="default"/>
      </items>
    </pivotField>
  </pivotFields>
  <rowFields count="1">
    <field x="1"/>
  </rowFields>
  <rowItems count="15">
    <i>
      <x/>
    </i>
    <i>
      <x v="1"/>
    </i>
    <i>
      <x v="2"/>
    </i>
    <i>
      <x v="3"/>
    </i>
    <i>
      <x v="4"/>
    </i>
    <i>
      <x v="5"/>
    </i>
    <i>
      <x v="6"/>
    </i>
    <i>
      <x v="7"/>
    </i>
    <i>
      <x v="8"/>
    </i>
    <i>
      <x v="9"/>
    </i>
    <i>
      <x v="10"/>
    </i>
    <i>
      <x v="11"/>
    </i>
    <i>
      <x v="12"/>
    </i>
    <i>
      <x v="13"/>
    </i>
    <i t="grand">
      <x/>
    </i>
  </rowItems>
  <colItems count="1">
    <i/>
  </colItems>
  <dataFields count="1">
    <dataField name="Variance 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60D8B7-FD71-42D0-B66D-3F1A06AB2395}" name="PT_SpendVsBudge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8:D63" firstHeaderRow="0" firstDataRow="1" firstDataCol="1"/>
  <pivotFields count="12">
    <pivotField showAll="0"/>
    <pivotField axis="axisRow" showAll="0">
      <items count="15">
        <item x="1"/>
        <item x="8"/>
        <item x="0"/>
        <item x="3"/>
        <item x="2"/>
        <item x="11"/>
        <item x="5"/>
        <item x="9"/>
        <item x="7"/>
        <item x="12"/>
        <item x="13"/>
        <item x="6"/>
        <item x="4"/>
        <item x="10"/>
        <item t="default"/>
      </items>
    </pivotField>
    <pivotField showAll="0">
      <items count="7">
        <item x="4"/>
        <item x="3"/>
        <item x="0"/>
        <item x="5"/>
        <item x="2"/>
        <item x="1"/>
        <item t="default"/>
      </items>
    </pivotField>
    <pivotField showAll="0"/>
    <pivotField numFmtId="164" showAll="0"/>
    <pivotField numFmtId="164" showAll="0"/>
    <pivotField dataField="1" numFmtId="165" showAll="0"/>
    <pivotField dataField="1" numFmtId="165" showAll="0"/>
    <pivotField numFmtId="165" showAll="0"/>
    <pivotField numFmtId="166" showAll="0"/>
    <pivotField showAll="0"/>
    <pivotField showAll="0">
      <items count="4">
        <item x="2"/>
        <item x="1"/>
        <item x="0"/>
        <item t="default"/>
      </items>
    </pivotField>
  </pivotFields>
  <rowFields count="1">
    <field x="1"/>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Budget Amount" fld="6" baseField="0" baseItem="0"/>
    <dataField name="Actual Spend" fld="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38F598D-A7D2-452E-B60F-AC1CA0043B02}" sourceName="Region">
  <pivotTables>
    <pivotTable tabId="4" name="PT_SpendVsBudget"/>
    <pivotTable tabId="4" name="PT_VarianceByProject"/>
    <pivotTable tabId="4" name="PT_RAGSummary"/>
  </pivotTables>
  <data>
    <tabular pivotCacheId="835855233">
      <items count="6">
        <i x="4" s="1"/>
        <i x="3" s="1"/>
        <i x="0"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Level" xr10:uid="{7C3517AF-C304-460C-A7CD-F806ED90AD86}" sourceName="RiskLevel">
  <pivotTables>
    <pivotTable tabId="4" name="PT_SpendVsBudget"/>
    <pivotTable tabId="4" name="PT_VarianceByProject"/>
    <pivotTable tabId="4" name="PT_RAGSummary"/>
  </pivotTables>
  <data>
    <tabular pivotCacheId="83585523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Slicer" xr10:uid="{7A4EC05E-037C-4909-9CB0-1BDF78A74667}" cache="Slicer_Region" caption="Region" style="SlicerStyleLight6" rowHeight="241300"/>
  <slicer name="RiskSlicer" xr10:uid="{0BAA9C78-BB63-4A1D-921A-6BA95E8540E9}" cache="Slicer_RiskLevel" caption="Risk Level"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79DC4A-BF17-494C-9F2F-83677844FDF9}" name="ProjectsTable" displayName="ProjectsTable" ref="A1:L15" totalsRowShown="0" headerRowDxfId="6">
  <autoFilter ref="A1:L15" xr:uid="{00000000-0009-0000-0000-000000000000}"/>
  <tableColumns count="12">
    <tableColumn id="1" xr3:uid="{6B21CD7C-6204-4AAF-9279-EF53F473219D}" name="ProjectID"/>
    <tableColumn id="2" xr3:uid="{14CC7C1B-008D-4735-8519-657F74CC4140}" name="ProjectName"/>
    <tableColumn id="3" xr3:uid="{734B1F57-BDAB-4DB8-A0B3-EE9187006877}" name="Region"/>
    <tableColumn id="4" xr3:uid="{B145B60D-F9EA-4D43-9511-5E469D5DC432}" name="PM"/>
    <tableColumn id="5" xr3:uid="{7147FF97-4EA6-4F37-B12B-C52237A8E0CA}" name="StartDate" dataDxfId="12"/>
    <tableColumn id="6" xr3:uid="{D33490F7-E1C1-4A8F-BF9F-FA4B4144D8F8}" name="EndDate" dataDxfId="11"/>
    <tableColumn id="7" xr3:uid="{6ED69874-1493-4392-8E15-7CAFFA46FFC9}" name="Budget" dataDxfId="10"/>
    <tableColumn id="8" xr3:uid="{FE6878E4-6263-44DB-B459-DF9A1FEEFED4}" name="ActualSpend" dataDxfId="9"/>
    <tableColumn id="9" xr3:uid="{A890D04B-1664-4408-AC17-C0B97D9E1B8D}" name="Variance" dataDxfId="8">
      <calculatedColumnFormula>G2-H2</calculatedColumnFormula>
    </tableColumn>
    <tableColumn id="10" xr3:uid="{D16D5A8A-003E-4E30-AF33-DA2A460D1249}" name="PercentSpent" dataDxfId="7">
      <calculatedColumnFormula>H2/G2</calculatedColumnFormula>
    </tableColumn>
    <tableColumn id="11" xr3:uid="{84FD88AE-1752-4000-A673-4811CA4BEC1D}" name="ScheduleStatus"/>
    <tableColumn id="12" xr3:uid="{E8BC8B16-5A29-42D2-8A40-5039618898F3}" name="RiskLev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2C4B5D-A847-4600-B314-DF50C840FB56}" name="ResourcesTable" displayName="ResourcesTable" ref="A1:F93" totalsRowShown="0" headerRowDxfId="3">
  <autoFilter ref="A1:F93" xr:uid="{00000000-0009-0000-0000-000001000000}"/>
  <tableColumns count="6">
    <tableColumn id="1" xr3:uid="{44802F3A-3DC8-43C1-A494-C4FAE85DA100}" name="Resource"/>
    <tableColumn id="2" xr3:uid="{E25B3903-855B-4B49-8154-B9C2C0DB898C}" name="Project"/>
    <tableColumn id="3" xr3:uid="{F566C093-F1CB-4735-941B-CF7F08A75551}" name="Month" dataDxfId="5"/>
    <tableColumn id="4" xr3:uid="{C36FE195-B87D-4A9B-84B5-FBA69EDDA471}" name="PlannedHours"/>
    <tableColumn id="5" xr3:uid="{034E6E5C-3624-4B1B-8DCA-4F910F219AA9}" name="BookedHours"/>
    <tableColumn id="6" xr3:uid="{2CD01A50-0374-437B-81EC-75AF8161A3ED}" name="Utilization" dataDxfId="4">
      <calculatedColumnFormula>E2/D2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3FD714-E166-4450-A3A4-DFAF8E9B9B38}" name="MonthlySpendTable" displayName="MonthlySpendTable" ref="A1:D105" totalsRowShown="0" headerRowDxfId="0">
  <autoFilter ref="A1:D105" xr:uid="{00000000-0009-0000-0000-000002000000}"/>
  <tableColumns count="4">
    <tableColumn id="1" xr3:uid="{524F2B1D-1851-4058-BCD8-50F80FD8F69F}" name="ProjectID"/>
    <tableColumn id="2" xr3:uid="{04F915CB-9B6F-4F8E-8B35-FF59B2930720}" name="ProjectName"/>
    <tableColumn id="3" xr3:uid="{FFECA851-5151-4E66-AC00-2C6F93403007}" name="Month" dataDxfId="2"/>
    <tableColumn id="4" xr3:uid="{38ED7805-14AB-489E-87E1-6888C53AFD43}" name="ActualSpendThatMonth"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workbookViewId="0">
      <pane ySplit="1" topLeftCell="A2" activePane="bottomLeft" state="frozen"/>
      <selection pane="bottomLeft"/>
    </sheetView>
  </sheetViews>
  <sheetFormatPr defaultRowHeight="14.25" x14ac:dyDescent="0.45"/>
  <cols>
    <col min="1" max="1" width="10" customWidth="1"/>
    <col min="2" max="2" width="30" customWidth="1"/>
    <col min="3" max="3" width="20" customWidth="1"/>
    <col min="4" max="4" width="14" customWidth="1"/>
    <col min="5" max="7" width="12" customWidth="1"/>
    <col min="8" max="8" width="13" customWidth="1"/>
    <col min="9" max="9" width="12" customWidth="1"/>
    <col min="10" max="10" width="13.53125" customWidth="1"/>
    <col min="11" max="11" width="15.06640625" customWidth="1"/>
    <col min="12" max="12" width="10.06640625" customWidth="1"/>
  </cols>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t="s">
        <v>12</v>
      </c>
      <c r="B2" t="s">
        <v>13</v>
      </c>
      <c r="C2" t="s">
        <v>14</v>
      </c>
      <c r="D2" t="s">
        <v>15</v>
      </c>
      <c r="E2" s="2">
        <v>45759</v>
      </c>
      <c r="F2" s="2">
        <v>45850</v>
      </c>
      <c r="G2" s="3">
        <v>154000</v>
      </c>
      <c r="H2" s="3">
        <v>173200</v>
      </c>
      <c r="I2" s="3">
        <f t="shared" ref="I2:I15" si="0">G2-H2</f>
        <v>-19200</v>
      </c>
      <c r="J2" s="4">
        <f t="shared" ref="J2:J15" si="1">H2/G2</f>
        <v>1.1246753246753247</v>
      </c>
      <c r="K2" t="s">
        <v>16</v>
      </c>
      <c r="L2" t="s">
        <v>17</v>
      </c>
    </row>
    <row r="3" spans="1:12" x14ac:dyDescent="0.45">
      <c r="A3" t="s">
        <v>18</v>
      </c>
      <c r="B3" t="s">
        <v>19</v>
      </c>
      <c r="C3" t="s">
        <v>20</v>
      </c>
      <c r="D3" t="s">
        <v>21</v>
      </c>
      <c r="E3" s="2">
        <v>45680</v>
      </c>
      <c r="F3" s="2">
        <v>45953</v>
      </c>
      <c r="G3" s="3">
        <v>508000</v>
      </c>
      <c r="H3" s="3">
        <v>304200</v>
      </c>
      <c r="I3" s="3">
        <f t="shared" si="0"/>
        <v>203800</v>
      </c>
      <c r="J3" s="4">
        <f t="shared" si="1"/>
        <v>0.59881889763779528</v>
      </c>
      <c r="K3" t="s">
        <v>16</v>
      </c>
      <c r="L3" t="s">
        <v>22</v>
      </c>
    </row>
    <row r="4" spans="1:12" x14ac:dyDescent="0.45">
      <c r="A4" t="s">
        <v>23</v>
      </c>
      <c r="B4" t="s">
        <v>24</v>
      </c>
      <c r="C4" t="s">
        <v>25</v>
      </c>
      <c r="D4" t="s">
        <v>26</v>
      </c>
      <c r="E4" s="2">
        <v>45807</v>
      </c>
      <c r="F4" s="2">
        <v>45899</v>
      </c>
      <c r="G4" s="3">
        <v>670000</v>
      </c>
      <c r="H4" s="3">
        <v>643100</v>
      </c>
      <c r="I4" s="3">
        <f t="shared" si="0"/>
        <v>26900</v>
      </c>
      <c r="J4" s="4">
        <f t="shared" si="1"/>
        <v>0.95985074626865674</v>
      </c>
      <c r="K4" t="s">
        <v>16</v>
      </c>
      <c r="L4" t="s">
        <v>22</v>
      </c>
    </row>
    <row r="5" spans="1:12" x14ac:dyDescent="0.45">
      <c r="A5" t="s">
        <v>27</v>
      </c>
      <c r="B5" t="s">
        <v>28</v>
      </c>
      <c r="C5" t="s">
        <v>29</v>
      </c>
      <c r="D5" t="s">
        <v>30</v>
      </c>
      <c r="E5" s="2">
        <v>45765</v>
      </c>
      <c r="F5" s="2">
        <v>45918</v>
      </c>
      <c r="G5" s="3">
        <v>633000</v>
      </c>
      <c r="H5" s="3">
        <v>400300</v>
      </c>
      <c r="I5" s="3">
        <f t="shared" si="0"/>
        <v>232700</v>
      </c>
      <c r="J5" s="4">
        <f t="shared" si="1"/>
        <v>0.63238546603475509</v>
      </c>
      <c r="K5" t="s">
        <v>16</v>
      </c>
      <c r="L5" t="s">
        <v>17</v>
      </c>
    </row>
    <row r="6" spans="1:12" x14ac:dyDescent="0.45">
      <c r="A6" t="s">
        <v>31</v>
      </c>
      <c r="B6" t="s">
        <v>32</v>
      </c>
      <c r="C6" t="s">
        <v>29</v>
      </c>
      <c r="D6" t="s">
        <v>33</v>
      </c>
      <c r="E6" s="2">
        <v>45806</v>
      </c>
      <c r="F6" s="2">
        <v>45990</v>
      </c>
      <c r="G6" s="3">
        <v>461000</v>
      </c>
      <c r="H6" s="3">
        <v>285000</v>
      </c>
      <c r="I6" s="3">
        <f t="shared" si="0"/>
        <v>176000</v>
      </c>
      <c r="J6" s="4">
        <f t="shared" si="1"/>
        <v>0.61822125813449025</v>
      </c>
      <c r="K6" t="s">
        <v>34</v>
      </c>
      <c r="L6" t="s">
        <v>17</v>
      </c>
    </row>
    <row r="7" spans="1:12" x14ac:dyDescent="0.45">
      <c r="A7" t="s">
        <v>35</v>
      </c>
      <c r="B7" t="s">
        <v>36</v>
      </c>
      <c r="C7" t="s">
        <v>20</v>
      </c>
      <c r="D7" t="s">
        <v>37</v>
      </c>
      <c r="E7" s="2">
        <v>45794</v>
      </c>
      <c r="F7" s="2">
        <v>46070</v>
      </c>
      <c r="G7" s="3">
        <v>875000</v>
      </c>
      <c r="H7" s="3">
        <v>673700</v>
      </c>
      <c r="I7" s="3">
        <f t="shared" si="0"/>
        <v>201300</v>
      </c>
      <c r="J7" s="4">
        <f t="shared" si="1"/>
        <v>0.76994285714285715</v>
      </c>
      <c r="K7" t="s">
        <v>34</v>
      </c>
      <c r="L7" t="s">
        <v>17</v>
      </c>
    </row>
    <row r="8" spans="1:12" x14ac:dyDescent="0.45">
      <c r="A8" t="s">
        <v>38</v>
      </c>
      <c r="B8" t="s">
        <v>39</v>
      </c>
      <c r="C8" t="s">
        <v>40</v>
      </c>
      <c r="D8" t="s">
        <v>26</v>
      </c>
      <c r="E8" s="2">
        <v>45704</v>
      </c>
      <c r="F8" s="2">
        <v>45885</v>
      </c>
      <c r="G8" s="3">
        <v>163000</v>
      </c>
      <c r="H8" s="3">
        <v>155200</v>
      </c>
      <c r="I8" s="3">
        <f t="shared" si="0"/>
        <v>7800</v>
      </c>
      <c r="J8" s="4">
        <f t="shared" si="1"/>
        <v>0.95214723926380374</v>
      </c>
      <c r="K8" t="s">
        <v>16</v>
      </c>
      <c r="L8" t="s">
        <v>41</v>
      </c>
    </row>
    <row r="9" spans="1:12" x14ac:dyDescent="0.45">
      <c r="A9" t="s">
        <v>42</v>
      </c>
      <c r="B9" t="s">
        <v>43</v>
      </c>
      <c r="C9" t="s">
        <v>44</v>
      </c>
      <c r="D9" t="s">
        <v>30</v>
      </c>
      <c r="E9" s="2">
        <v>45676</v>
      </c>
      <c r="F9" s="2">
        <v>45796</v>
      </c>
      <c r="G9" s="3">
        <v>604000</v>
      </c>
      <c r="H9" s="3">
        <v>509000</v>
      </c>
      <c r="I9" s="3">
        <f t="shared" si="0"/>
        <v>95000</v>
      </c>
      <c r="J9" s="4">
        <f t="shared" si="1"/>
        <v>0.8427152317880795</v>
      </c>
      <c r="K9" t="s">
        <v>34</v>
      </c>
      <c r="L9" t="s">
        <v>22</v>
      </c>
    </row>
    <row r="10" spans="1:12" x14ac:dyDescent="0.45">
      <c r="A10" t="s">
        <v>45</v>
      </c>
      <c r="B10" t="s">
        <v>46</v>
      </c>
      <c r="C10" t="s">
        <v>44</v>
      </c>
      <c r="D10" t="s">
        <v>47</v>
      </c>
      <c r="E10" s="2">
        <v>45668</v>
      </c>
      <c r="F10" s="2">
        <v>45788</v>
      </c>
      <c r="G10" s="3">
        <v>862000</v>
      </c>
      <c r="H10" s="3">
        <v>810800</v>
      </c>
      <c r="I10" s="3">
        <f t="shared" si="0"/>
        <v>51200</v>
      </c>
      <c r="J10" s="4">
        <f t="shared" si="1"/>
        <v>0.94060324825986075</v>
      </c>
      <c r="K10" t="s">
        <v>34</v>
      </c>
      <c r="L10" t="s">
        <v>17</v>
      </c>
    </row>
    <row r="11" spans="1:12" x14ac:dyDescent="0.45">
      <c r="A11" t="s">
        <v>48</v>
      </c>
      <c r="B11" t="s">
        <v>49</v>
      </c>
      <c r="C11" t="s">
        <v>14</v>
      </c>
      <c r="D11" t="s">
        <v>50</v>
      </c>
      <c r="E11" s="2">
        <v>45785</v>
      </c>
      <c r="F11" s="2">
        <v>46089</v>
      </c>
      <c r="G11" s="3">
        <v>150000</v>
      </c>
      <c r="H11" s="3">
        <v>170700</v>
      </c>
      <c r="I11" s="3">
        <f t="shared" si="0"/>
        <v>-20700</v>
      </c>
      <c r="J11" s="4">
        <f t="shared" si="1"/>
        <v>1.1379999999999999</v>
      </c>
      <c r="K11" t="s">
        <v>51</v>
      </c>
      <c r="L11" t="s">
        <v>17</v>
      </c>
    </row>
    <row r="12" spans="1:12" x14ac:dyDescent="0.45">
      <c r="A12" t="s">
        <v>52</v>
      </c>
      <c r="B12" t="s">
        <v>53</v>
      </c>
      <c r="C12" t="s">
        <v>25</v>
      </c>
      <c r="D12" t="s">
        <v>21</v>
      </c>
      <c r="E12" s="2">
        <v>45737</v>
      </c>
      <c r="F12" s="2">
        <v>46043</v>
      </c>
      <c r="G12" s="3">
        <v>371000</v>
      </c>
      <c r="H12" s="3">
        <v>390200</v>
      </c>
      <c r="I12" s="3">
        <f t="shared" si="0"/>
        <v>-19200</v>
      </c>
      <c r="J12" s="4">
        <f t="shared" si="1"/>
        <v>1.0517520215633422</v>
      </c>
      <c r="K12" t="s">
        <v>51</v>
      </c>
      <c r="L12" t="s">
        <v>22</v>
      </c>
    </row>
    <row r="13" spans="1:12" x14ac:dyDescent="0.45">
      <c r="A13" t="s">
        <v>54</v>
      </c>
      <c r="B13" t="s">
        <v>55</v>
      </c>
      <c r="C13" t="s">
        <v>44</v>
      </c>
      <c r="D13" t="s">
        <v>50</v>
      </c>
      <c r="E13" s="2">
        <v>45701</v>
      </c>
      <c r="F13" s="2">
        <v>45821</v>
      </c>
      <c r="G13" s="3">
        <v>585000</v>
      </c>
      <c r="H13" s="3">
        <v>345900</v>
      </c>
      <c r="I13" s="3">
        <f t="shared" si="0"/>
        <v>239100</v>
      </c>
      <c r="J13" s="4">
        <f t="shared" si="1"/>
        <v>0.59128205128205125</v>
      </c>
      <c r="K13" t="s">
        <v>34</v>
      </c>
      <c r="L13" t="s">
        <v>22</v>
      </c>
    </row>
    <row r="14" spans="1:12" x14ac:dyDescent="0.45">
      <c r="A14" t="s">
        <v>56</v>
      </c>
      <c r="B14" t="s">
        <v>57</v>
      </c>
      <c r="C14" t="s">
        <v>20</v>
      </c>
      <c r="D14" t="s">
        <v>47</v>
      </c>
      <c r="E14" s="2">
        <v>45758</v>
      </c>
      <c r="F14" s="2">
        <v>46064</v>
      </c>
      <c r="G14" s="3">
        <v>162000</v>
      </c>
      <c r="H14" s="3">
        <v>108000</v>
      </c>
      <c r="I14" s="3">
        <f t="shared" si="0"/>
        <v>54000</v>
      </c>
      <c r="J14" s="4">
        <f t="shared" si="1"/>
        <v>0.66666666666666663</v>
      </c>
      <c r="K14" t="s">
        <v>16</v>
      </c>
      <c r="L14" t="s">
        <v>22</v>
      </c>
    </row>
    <row r="15" spans="1:12" x14ac:dyDescent="0.45">
      <c r="A15" t="s">
        <v>58</v>
      </c>
      <c r="B15" t="s">
        <v>59</v>
      </c>
      <c r="C15" t="s">
        <v>29</v>
      </c>
      <c r="D15" t="s">
        <v>47</v>
      </c>
      <c r="E15" s="2">
        <v>45798</v>
      </c>
      <c r="F15" s="2">
        <v>46012</v>
      </c>
      <c r="G15" s="3">
        <v>803000</v>
      </c>
      <c r="H15" s="3">
        <v>675100</v>
      </c>
      <c r="I15" s="3">
        <f t="shared" si="0"/>
        <v>127900</v>
      </c>
      <c r="J15" s="4">
        <f t="shared" si="1"/>
        <v>0.84072229140722288</v>
      </c>
      <c r="K15" t="s">
        <v>16</v>
      </c>
      <c r="L15" t="s">
        <v>41</v>
      </c>
    </row>
  </sheetData>
  <conditionalFormatting sqref="K2:K15">
    <cfRule type="cellIs" dxfId="21" priority="1" operator="equal">
      <formula>"Green"</formula>
    </cfRule>
    <cfRule type="cellIs" dxfId="20" priority="2" operator="equal">
      <formula>"Red"</formula>
    </cfRule>
    <cfRule type="cellIs" dxfId="19" priority="3" operator="equal">
      <formula>"Amber"</formula>
    </cfRule>
  </conditionalFormatting>
  <conditionalFormatting sqref="L2:L15">
    <cfRule type="cellIs" dxfId="18" priority="4" operator="equal">
      <formula>"High"</formula>
    </cfRule>
    <cfRule type="cellIs" dxfId="17" priority="5" operator="equal">
      <formula>"Medium"</formula>
    </cfRule>
    <cfRule type="cellIs" dxfId="16" priority="6" operator="equal">
      <formula>"Low"</formula>
    </cfRule>
  </conditionalFormatting>
  <dataValidations count="2">
    <dataValidation type="list" sqref="K2:K15" xr:uid="{00000000-0002-0000-0000-000000000000}">
      <formula1>"Green,Amber,Red"</formula1>
    </dataValidation>
    <dataValidation type="list" sqref="L2:L15" xr:uid="{00000000-0002-0000-0000-000001000000}">
      <formula1>"Low,Medium,High"</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3"/>
  <sheetViews>
    <sheetView workbookViewId="0">
      <pane ySplit="1" topLeftCell="A2" activePane="bottomLeft" state="frozen"/>
      <selection pane="bottomLeft"/>
    </sheetView>
  </sheetViews>
  <sheetFormatPr defaultRowHeight="14.25" x14ac:dyDescent="0.45"/>
  <cols>
    <col min="1" max="1" width="16" customWidth="1"/>
    <col min="2" max="2" width="30" customWidth="1"/>
    <col min="3" max="3" width="12" customWidth="1"/>
    <col min="4" max="5" width="14" customWidth="1"/>
    <col min="6" max="6" width="12" customWidth="1"/>
  </cols>
  <sheetData>
    <row r="1" spans="1:6" x14ac:dyDescent="0.45">
      <c r="A1" s="1" t="s">
        <v>60</v>
      </c>
      <c r="B1" s="1" t="s">
        <v>61</v>
      </c>
      <c r="C1" s="1" t="s">
        <v>62</v>
      </c>
      <c r="D1" s="1" t="s">
        <v>63</v>
      </c>
      <c r="E1" s="1" t="s">
        <v>64</v>
      </c>
      <c r="F1" s="1" t="s">
        <v>65</v>
      </c>
    </row>
    <row r="2" spans="1:6" x14ac:dyDescent="0.45">
      <c r="A2" t="s">
        <v>66</v>
      </c>
      <c r="B2" t="s">
        <v>24</v>
      </c>
      <c r="C2" s="5">
        <v>45778</v>
      </c>
      <c r="D2">
        <v>60</v>
      </c>
      <c r="E2">
        <v>45</v>
      </c>
      <c r="F2" s="4">
        <f t="shared" ref="F2:F33" si="0">E2/D2</f>
        <v>0.75</v>
      </c>
    </row>
    <row r="3" spans="1:6" x14ac:dyDescent="0.45">
      <c r="A3" t="s">
        <v>66</v>
      </c>
      <c r="B3" t="s">
        <v>24</v>
      </c>
      <c r="C3" s="5">
        <v>45809</v>
      </c>
      <c r="D3">
        <v>60</v>
      </c>
      <c r="E3">
        <v>36</v>
      </c>
      <c r="F3" s="4">
        <f t="shared" si="0"/>
        <v>0.6</v>
      </c>
    </row>
    <row r="4" spans="1:6" x14ac:dyDescent="0.45">
      <c r="A4" t="s">
        <v>66</v>
      </c>
      <c r="B4" t="s">
        <v>24</v>
      </c>
      <c r="C4" s="5">
        <v>45839</v>
      </c>
      <c r="D4">
        <v>120</v>
      </c>
      <c r="E4">
        <v>86</v>
      </c>
      <c r="F4" s="4">
        <f t="shared" si="0"/>
        <v>0.71666666666666667</v>
      </c>
    </row>
    <row r="5" spans="1:6" x14ac:dyDescent="0.45">
      <c r="A5" t="s">
        <v>66</v>
      </c>
      <c r="B5" t="s">
        <v>19</v>
      </c>
      <c r="C5" s="5">
        <v>45658</v>
      </c>
      <c r="D5">
        <v>40</v>
      </c>
      <c r="E5">
        <v>28</v>
      </c>
      <c r="F5" s="4">
        <f t="shared" si="0"/>
        <v>0.7</v>
      </c>
    </row>
    <row r="6" spans="1:6" x14ac:dyDescent="0.45">
      <c r="A6" t="s">
        <v>66</v>
      </c>
      <c r="B6" t="s">
        <v>19</v>
      </c>
      <c r="C6" s="5">
        <v>45689</v>
      </c>
      <c r="D6">
        <v>120</v>
      </c>
      <c r="E6">
        <v>101</v>
      </c>
      <c r="F6" s="4">
        <f t="shared" si="0"/>
        <v>0.84166666666666667</v>
      </c>
    </row>
    <row r="7" spans="1:6" x14ac:dyDescent="0.45">
      <c r="A7" t="s">
        <v>66</v>
      </c>
      <c r="B7" t="s">
        <v>19</v>
      </c>
      <c r="C7" s="5">
        <v>45717</v>
      </c>
      <c r="D7">
        <v>120</v>
      </c>
      <c r="E7">
        <v>97</v>
      </c>
      <c r="F7" s="4">
        <f t="shared" si="0"/>
        <v>0.80833333333333335</v>
      </c>
    </row>
    <row r="8" spans="1:6" x14ac:dyDescent="0.45">
      <c r="A8" t="s">
        <v>66</v>
      </c>
      <c r="B8" t="s">
        <v>19</v>
      </c>
      <c r="C8" s="5">
        <v>45748</v>
      </c>
      <c r="D8">
        <v>60</v>
      </c>
      <c r="E8">
        <v>63</v>
      </c>
      <c r="F8" s="4">
        <f t="shared" si="0"/>
        <v>1.05</v>
      </c>
    </row>
    <row r="9" spans="1:6" x14ac:dyDescent="0.45">
      <c r="A9" t="s">
        <v>67</v>
      </c>
      <c r="B9" t="s">
        <v>49</v>
      </c>
      <c r="C9" s="5">
        <v>45778</v>
      </c>
      <c r="D9">
        <v>160</v>
      </c>
      <c r="E9">
        <v>179</v>
      </c>
      <c r="F9" s="4">
        <f t="shared" si="0"/>
        <v>1.1187499999999999</v>
      </c>
    </row>
    <row r="10" spans="1:6" x14ac:dyDescent="0.45">
      <c r="A10" t="s">
        <v>67</v>
      </c>
      <c r="B10" t="s">
        <v>49</v>
      </c>
      <c r="C10" s="5">
        <v>45809</v>
      </c>
      <c r="D10">
        <v>100</v>
      </c>
      <c r="E10">
        <v>86</v>
      </c>
      <c r="F10" s="4">
        <f t="shared" si="0"/>
        <v>0.86</v>
      </c>
    </row>
    <row r="11" spans="1:6" x14ac:dyDescent="0.45">
      <c r="A11" t="s">
        <v>67</v>
      </c>
      <c r="B11" t="s">
        <v>49</v>
      </c>
      <c r="C11" s="5">
        <v>45839</v>
      </c>
      <c r="D11">
        <v>100</v>
      </c>
      <c r="E11">
        <v>67</v>
      </c>
      <c r="F11" s="4">
        <f t="shared" si="0"/>
        <v>0.67</v>
      </c>
    </row>
    <row r="12" spans="1:6" x14ac:dyDescent="0.45">
      <c r="A12" t="s">
        <v>67</v>
      </c>
      <c r="B12" t="s">
        <v>49</v>
      </c>
      <c r="C12" s="5">
        <v>45870</v>
      </c>
      <c r="D12">
        <v>160</v>
      </c>
      <c r="E12">
        <v>138</v>
      </c>
      <c r="F12" s="4">
        <f t="shared" si="0"/>
        <v>0.86250000000000004</v>
      </c>
    </row>
    <row r="13" spans="1:6" x14ac:dyDescent="0.45">
      <c r="A13" t="s">
        <v>67</v>
      </c>
      <c r="B13" t="s">
        <v>49</v>
      </c>
      <c r="C13" s="5">
        <v>45901</v>
      </c>
      <c r="D13">
        <v>60</v>
      </c>
      <c r="E13">
        <v>39</v>
      </c>
      <c r="F13" s="4">
        <f t="shared" si="0"/>
        <v>0.65</v>
      </c>
    </row>
    <row r="14" spans="1:6" x14ac:dyDescent="0.45">
      <c r="A14" t="s">
        <v>67</v>
      </c>
      <c r="B14" t="s">
        <v>53</v>
      </c>
      <c r="C14" s="5">
        <v>45717</v>
      </c>
      <c r="D14">
        <v>100</v>
      </c>
      <c r="E14">
        <v>71</v>
      </c>
      <c r="F14" s="4">
        <f t="shared" si="0"/>
        <v>0.71</v>
      </c>
    </row>
    <row r="15" spans="1:6" x14ac:dyDescent="0.45">
      <c r="A15" t="s">
        <v>67</v>
      </c>
      <c r="B15" t="s">
        <v>53</v>
      </c>
      <c r="C15" s="5">
        <v>45748</v>
      </c>
      <c r="D15">
        <v>80</v>
      </c>
      <c r="E15">
        <v>79</v>
      </c>
      <c r="F15" s="4">
        <f t="shared" si="0"/>
        <v>0.98750000000000004</v>
      </c>
    </row>
    <row r="16" spans="1:6" x14ac:dyDescent="0.45">
      <c r="A16" t="s">
        <v>67</v>
      </c>
      <c r="B16" t="s">
        <v>53</v>
      </c>
      <c r="C16" s="5">
        <v>45778</v>
      </c>
      <c r="D16">
        <v>40</v>
      </c>
      <c r="E16">
        <v>24</v>
      </c>
      <c r="F16" s="4">
        <f t="shared" si="0"/>
        <v>0.6</v>
      </c>
    </row>
    <row r="17" spans="1:6" x14ac:dyDescent="0.45">
      <c r="A17" t="s">
        <v>67</v>
      </c>
      <c r="B17" t="s">
        <v>57</v>
      </c>
      <c r="C17" s="5">
        <v>45748</v>
      </c>
      <c r="D17">
        <v>120</v>
      </c>
      <c r="E17">
        <v>80</v>
      </c>
      <c r="F17" s="4">
        <f t="shared" si="0"/>
        <v>0.66666666666666663</v>
      </c>
    </row>
    <row r="18" spans="1:6" x14ac:dyDescent="0.45">
      <c r="A18" t="s">
        <v>67</v>
      </c>
      <c r="B18" t="s">
        <v>57</v>
      </c>
      <c r="C18" s="5">
        <v>45778</v>
      </c>
      <c r="D18">
        <v>80</v>
      </c>
      <c r="E18">
        <v>80</v>
      </c>
      <c r="F18" s="4">
        <f t="shared" si="0"/>
        <v>1</v>
      </c>
    </row>
    <row r="19" spans="1:6" x14ac:dyDescent="0.45">
      <c r="A19" t="s">
        <v>67</v>
      </c>
      <c r="B19" t="s">
        <v>57</v>
      </c>
      <c r="C19" s="5">
        <v>45809</v>
      </c>
      <c r="D19">
        <v>40</v>
      </c>
      <c r="E19">
        <v>47</v>
      </c>
      <c r="F19" s="4">
        <f t="shared" si="0"/>
        <v>1.175</v>
      </c>
    </row>
    <row r="20" spans="1:6" x14ac:dyDescent="0.45">
      <c r="A20" t="s">
        <v>67</v>
      </c>
      <c r="B20" t="s">
        <v>13</v>
      </c>
      <c r="C20" s="5">
        <v>45748</v>
      </c>
      <c r="D20">
        <v>60</v>
      </c>
      <c r="E20">
        <v>61</v>
      </c>
      <c r="F20" s="4">
        <f t="shared" si="0"/>
        <v>1.0166666666666666</v>
      </c>
    </row>
    <row r="21" spans="1:6" x14ac:dyDescent="0.45">
      <c r="A21" t="s">
        <v>67</v>
      </c>
      <c r="B21" t="s">
        <v>13</v>
      </c>
      <c r="C21" s="5">
        <v>45778</v>
      </c>
      <c r="D21">
        <v>80</v>
      </c>
      <c r="E21">
        <v>79</v>
      </c>
      <c r="F21" s="4">
        <f t="shared" si="0"/>
        <v>0.98750000000000004</v>
      </c>
    </row>
    <row r="22" spans="1:6" x14ac:dyDescent="0.45">
      <c r="A22" t="s">
        <v>67</v>
      </c>
      <c r="B22" t="s">
        <v>13</v>
      </c>
      <c r="C22" s="5">
        <v>45809</v>
      </c>
      <c r="D22">
        <v>100</v>
      </c>
      <c r="E22">
        <v>68</v>
      </c>
      <c r="F22" s="4">
        <f t="shared" si="0"/>
        <v>0.68</v>
      </c>
    </row>
    <row r="23" spans="1:6" x14ac:dyDescent="0.45">
      <c r="A23" t="s">
        <v>67</v>
      </c>
      <c r="B23" t="s">
        <v>13</v>
      </c>
      <c r="C23" s="5">
        <v>45839</v>
      </c>
      <c r="D23">
        <v>100</v>
      </c>
      <c r="E23">
        <v>125</v>
      </c>
      <c r="F23" s="4">
        <f t="shared" si="0"/>
        <v>1.25</v>
      </c>
    </row>
    <row r="24" spans="1:6" x14ac:dyDescent="0.45">
      <c r="A24" t="s">
        <v>67</v>
      </c>
      <c r="B24" t="s">
        <v>13</v>
      </c>
      <c r="C24" s="5">
        <v>45870</v>
      </c>
      <c r="D24">
        <v>100</v>
      </c>
      <c r="E24">
        <v>91</v>
      </c>
      <c r="F24" s="4">
        <f t="shared" si="0"/>
        <v>0.91</v>
      </c>
    </row>
    <row r="25" spans="1:6" x14ac:dyDescent="0.45">
      <c r="A25" t="s">
        <v>37</v>
      </c>
      <c r="B25" t="s">
        <v>19</v>
      </c>
      <c r="C25" s="5">
        <v>45658</v>
      </c>
      <c r="D25">
        <v>160</v>
      </c>
      <c r="E25">
        <v>124</v>
      </c>
      <c r="F25" s="4">
        <f t="shared" si="0"/>
        <v>0.77500000000000002</v>
      </c>
    </row>
    <row r="26" spans="1:6" x14ac:dyDescent="0.45">
      <c r="A26" t="s">
        <v>37</v>
      </c>
      <c r="B26" t="s">
        <v>19</v>
      </c>
      <c r="C26" s="5">
        <v>45689</v>
      </c>
      <c r="D26">
        <v>160</v>
      </c>
      <c r="E26">
        <v>113</v>
      </c>
      <c r="F26" s="4">
        <f t="shared" si="0"/>
        <v>0.70625000000000004</v>
      </c>
    </row>
    <row r="27" spans="1:6" x14ac:dyDescent="0.45">
      <c r="A27" t="s">
        <v>37</v>
      </c>
      <c r="B27" t="s">
        <v>19</v>
      </c>
      <c r="C27" s="5">
        <v>45717</v>
      </c>
      <c r="D27">
        <v>40</v>
      </c>
      <c r="E27">
        <v>29</v>
      </c>
      <c r="F27" s="4">
        <f t="shared" si="0"/>
        <v>0.72499999999999998</v>
      </c>
    </row>
    <row r="28" spans="1:6" x14ac:dyDescent="0.45">
      <c r="A28" t="s">
        <v>37</v>
      </c>
      <c r="B28" t="s">
        <v>19</v>
      </c>
      <c r="C28" s="5">
        <v>45748</v>
      </c>
      <c r="D28">
        <v>120</v>
      </c>
      <c r="E28">
        <v>100</v>
      </c>
      <c r="F28" s="4">
        <f t="shared" si="0"/>
        <v>0.83333333333333337</v>
      </c>
    </row>
    <row r="29" spans="1:6" x14ac:dyDescent="0.45">
      <c r="A29" t="s">
        <v>37</v>
      </c>
      <c r="B29" t="s">
        <v>24</v>
      </c>
      <c r="C29" s="5">
        <v>45778</v>
      </c>
      <c r="D29">
        <v>120</v>
      </c>
      <c r="E29">
        <v>95</v>
      </c>
      <c r="F29" s="4">
        <f t="shared" si="0"/>
        <v>0.79166666666666663</v>
      </c>
    </row>
    <row r="30" spans="1:6" x14ac:dyDescent="0.45">
      <c r="A30" t="s">
        <v>37</v>
      </c>
      <c r="B30" t="s">
        <v>24</v>
      </c>
      <c r="C30" s="5">
        <v>45809</v>
      </c>
      <c r="D30">
        <v>160</v>
      </c>
      <c r="E30">
        <v>186</v>
      </c>
      <c r="F30" s="4">
        <f t="shared" si="0"/>
        <v>1.1625000000000001</v>
      </c>
    </row>
    <row r="31" spans="1:6" x14ac:dyDescent="0.45">
      <c r="A31" t="s">
        <v>37</v>
      </c>
      <c r="B31" t="s">
        <v>59</v>
      </c>
      <c r="C31" s="5">
        <v>45778</v>
      </c>
      <c r="D31">
        <v>120</v>
      </c>
      <c r="E31">
        <v>101</v>
      </c>
      <c r="F31" s="4">
        <f t="shared" si="0"/>
        <v>0.84166666666666667</v>
      </c>
    </row>
    <row r="32" spans="1:6" x14ac:dyDescent="0.45">
      <c r="A32" t="s">
        <v>37</v>
      </c>
      <c r="B32" t="s">
        <v>59</v>
      </c>
      <c r="C32" s="5">
        <v>45809</v>
      </c>
      <c r="D32">
        <v>60</v>
      </c>
      <c r="E32">
        <v>50</v>
      </c>
      <c r="F32" s="4">
        <f t="shared" si="0"/>
        <v>0.83333333333333337</v>
      </c>
    </row>
    <row r="33" spans="1:6" x14ac:dyDescent="0.45">
      <c r="A33" t="s">
        <v>37</v>
      </c>
      <c r="B33" t="s">
        <v>59</v>
      </c>
      <c r="C33" s="5">
        <v>45839</v>
      </c>
      <c r="D33">
        <v>60</v>
      </c>
      <c r="E33">
        <v>57</v>
      </c>
      <c r="F33" s="4">
        <f t="shared" si="0"/>
        <v>0.95</v>
      </c>
    </row>
    <row r="34" spans="1:6" x14ac:dyDescent="0.45">
      <c r="A34" t="s">
        <v>37</v>
      </c>
      <c r="B34" t="s">
        <v>59</v>
      </c>
      <c r="C34" s="5">
        <v>45870</v>
      </c>
      <c r="D34">
        <v>120</v>
      </c>
      <c r="E34">
        <v>98</v>
      </c>
      <c r="F34" s="4">
        <f t="shared" ref="F34:F65" si="1">E34/D34</f>
        <v>0.81666666666666665</v>
      </c>
    </row>
    <row r="35" spans="1:6" x14ac:dyDescent="0.45">
      <c r="A35" t="s">
        <v>30</v>
      </c>
      <c r="B35" t="s">
        <v>49</v>
      </c>
      <c r="C35" s="5">
        <v>45778</v>
      </c>
      <c r="D35">
        <v>60</v>
      </c>
      <c r="E35">
        <v>68</v>
      </c>
      <c r="F35" s="4">
        <f t="shared" si="1"/>
        <v>1.1333333333333333</v>
      </c>
    </row>
    <row r="36" spans="1:6" x14ac:dyDescent="0.45">
      <c r="A36" t="s">
        <v>30</v>
      </c>
      <c r="B36" t="s">
        <v>49</v>
      </c>
      <c r="C36" s="5">
        <v>45809</v>
      </c>
      <c r="D36">
        <v>160</v>
      </c>
      <c r="E36">
        <v>180</v>
      </c>
      <c r="F36" s="4">
        <f t="shared" si="1"/>
        <v>1.125</v>
      </c>
    </row>
    <row r="37" spans="1:6" x14ac:dyDescent="0.45">
      <c r="A37" t="s">
        <v>30</v>
      </c>
      <c r="B37" t="s">
        <v>49</v>
      </c>
      <c r="C37" s="5">
        <v>45839</v>
      </c>
      <c r="D37">
        <v>60</v>
      </c>
      <c r="E37">
        <v>56</v>
      </c>
      <c r="F37" s="4">
        <f t="shared" si="1"/>
        <v>0.93333333333333335</v>
      </c>
    </row>
    <row r="38" spans="1:6" x14ac:dyDescent="0.45">
      <c r="A38" t="s">
        <v>30</v>
      </c>
      <c r="B38" t="s">
        <v>57</v>
      </c>
      <c r="C38" s="5">
        <v>45748</v>
      </c>
      <c r="D38">
        <v>160</v>
      </c>
      <c r="E38">
        <v>99</v>
      </c>
      <c r="F38" s="4">
        <f t="shared" si="1"/>
        <v>0.61875000000000002</v>
      </c>
    </row>
    <row r="39" spans="1:6" x14ac:dyDescent="0.45">
      <c r="A39" t="s">
        <v>30</v>
      </c>
      <c r="B39" t="s">
        <v>57</v>
      </c>
      <c r="C39" s="5">
        <v>45778</v>
      </c>
      <c r="D39">
        <v>40</v>
      </c>
      <c r="E39">
        <v>45</v>
      </c>
      <c r="F39" s="4">
        <f t="shared" si="1"/>
        <v>1.125</v>
      </c>
    </row>
    <row r="40" spans="1:6" x14ac:dyDescent="0.45">
      <c r="A40" t="s">
        <v>30</v>
      </c>
      <c r="B40" t="s">
        <v>57</v>
      </c>
      <c r="C40" s="5">
        <v>45809</v>
      </c>
      <c r="D40">
        <v>100</v>
      </c>
      <c r="E40">
        <v>77</v>
      </c>
      <c r="F40" s="4">
        <f t="shared" si="1"/>
        <v>0.77</v>
      </c>
    </row>
    <row r="41" spans="1:6" x14ac:dyDescent="0.45">
      <c r="A41" t="s">
        <v>30</v>
      </c>
      <c r="B41" t="s">
        <v>57</v>
      </c>
      <c r="C41" s="5">
        <v>45839</v>
      </c>
      <c r="D41">
        <v>160</v>
      </c>
      <c r="E41">
        <v>159</v>
      </c>
      <c r="F41" s="4">
        <f t="shared" si="1"/>
        <v>0.99375000000000002</v>
      </c>
    </row>
    <row r="42" spans="1:6" x14ac:dyDescent="0.45">
      <c r="A42" t="s">
        <v>15</v>
      </c>
      <c r="B42" t="s">
        <v>43</v>
      </c>
      <c r="C42" s="5">
        <v>45658</v>
      </c>
      <c r="D42">
        <v>80</v>
      </c>
      <c r="E42">
        <v>52</v>
      </c>
      <c r="F42" s="4">
        <f t="shared" si="1"/>
        <v>0.65</v>
      </c>
    </row>
    <row r="43" spans="1:6" x14ac:dyDescent="0.45">
      <c r="A43" t="s">
        <v>15</v>
      </c>
      <c r="B43" t="s">
        <v>43</v>
      </c>
      <c r="C43" s="5">
        <v>45689</v>
      </c>
      <c r="D43">
        <v>40</v>
      </c>
      <c r="E43">
        <v>30</v>
      </c>
      <c r="F43" s="4">
        <f t="shared" si="1"/>
        <v>0.75</v>
      </c>
    </row>
    <row r="44" spans="1:6" x14ac:dyDescent="0.45">
      <c r="A44" t="s">
        <v>15</v>
      </c>
      <c r="B44" t="s">
        <v>43</v>
      </c>
      <c r="C44" s="5">
        <v>45717</v>
      </c>
      <c r="D44">
        <v>60</v>
      </c>
      <c r="E44">
        <v>49</v>
      </c>
      <c r="F44" s="4">
        <f t="shared" si="1"/>
        <v>0.81666666666666665</v>
      </c>
    </row>
    <row r="45" spans="1:6" x14ac:dyDescent="0.45">
      <c r="A45" t="s">
        <v>15</v>
      </c>
      <c r="B45" t="s">
        <v>43</v>
      </c>
      <c r="C45" s="5">
        <v>45748</v>
      </c>
      <c r="D45">
        <v>100</v>
      </c>
      <c r="E45">
        <v>101</v>
      </c>
      <c r="F45" s="4">
        <f t="shared" si="1"/>
        <v>1.01</v>
      </c>
    </row>
    <row r="46" spans="1:6" x14ac:dyDescent="0.45">
      <c r="A46" t="s">
        <v>15</v>
      </c>
      <c r="B46" t="s">
        <v>57</v>
      </c>
      <c r="C46" s="5">
        <v>45748</v>
      </c>
      <c r="D46">
        <v>100</v>
      </c>
      <c r="E46">
        <v>119</v>
      </c>
      <c r="F46" s="4">
        <f t="shared" si="1"/>
        <v>1.19</v>
      </c>
    </row>
    <row r="47" spans="1:6" x14ac:dyDescent="0.45">
      <c r="A47" t="s">
        <v>15</v>
      </c>
      <c r="B47" t="s">
        <v>57</v>
      </c>
      <c r="C47" s="5">
        <v>45778</v>
      </c>
      <c r="D47">
        <v>80</v>
      </c>
      <c r="E47">
        <v>90</v>
      </c>
      <c r="F47" s="4">
        <f t="shared" si="1"/>
        <v>1.125</v>
      </c>
    </row>
    <row r="48" spans="1:6" x14ac:dyDescent="0.45">
      <c r="A48" t="s">
        <v>15</v>
      </c>
      <c r="B48" t="s">
        <v>55</v>
      </c>
      <c r="C48" s="5">
        <v>45689</v>
      </c>
      <c r="D48">
        <v>160</v>
      </c>
      <c r="E48">
        <v>108</v>
      </c>
      <c r="F48" s="4">
        <f t="shared" si="1"/>
        <v>0.67500000000000004</v>
      </c>
    </row>
    <row r="49" spans="1:6" x14ac:dyDescent="0.45">
      <c r="A49" t="s">
        <v>15</v>
      </c>
      <c r="B49" t="s">
        <v>55</v>
      </c>
      <c r="C49" s="5">
        <v>45717</v>
      </c>
      <c r="D49">
        <v>100</v>
      </c>
      <c r="E49">
        <v>111</v>
      </c>
      <c r="F49" s="4">
        <f t="shared" si="1"/>
        <v>1.1100000000000001</v>
      </c>
    </row>
    <row r="50" spans="1:6" x14ac:dyDescent="0.45">
      <c r="A50" t="s">
        <v>47</v>
      </c>
      <c r="B50" t="s">
        <v>43</v>
      </c>
      <c r="C50" s="5">
        <v>45658</v>
      </c>
      <c r="D50">
        <v>160</v>
      </c>
      <c r="E50">
        <v>131</v>
      </c>
      <c r="F50" s="4">
        <f t="shared" si="1"/>
        <v>0.81874999999999998</v>
      </c>
    </row>
    <row r="51" spans="1:6" x14ac:dyDescent="0.45">
      <c r="A51" t="s">
        <v>47</v>
      </c>
      <c r="B51" t="s">
        <v>43</v>
      </c>
      <c r="C51" s="5">
        <v>45689</v>
      </c>
      <c r="D51">
        <v>160</v>
      </c>
      <c r="E51">
        <v>137</v>
      </c>
      <c r="F51" s="4">
        <f t="shared" si="1"/>
        <v>0.85624999999999996</v>
      </c>
    </row>
    <row r="52" spans="1:6" x14ac:dyDescent="0.45">
      <c r="A52" t="s">
        <v>47</v>
      </c>
      <c r="B52" t="s">
        <v>43</v>
      </c>
      <c r="C52" s="5">
        <v>45717</v>
      </c>
      <c r="D52">
        <v>100</v>
      </c>
      <c r="E52">
        <v>108</v>
      </c>
      <c r="F52" s="4">
        <f t="shared" si="1"/>
        <v>1.08</v>
      </c>
    </row>
    <row r="53" spans="1:6" x14ac:dyDescent="0.45">
      <c r="A53" t="s">
        <v>47</v>
      </c>
      <c r="B53" t="s">
        <v>43</v>
      </c>
      <c r="C53" s="5">
        <v>45748</v>
      </c>
      <c r="D53">
        <v>40</v>
      </c>
      <c r="E53">
        <v>43</v>
      </c>
      <c r="F53" s="4">
        <f t="shared" si="1"/>
        <v>1.075</v>
      </c>
    </row>
    <row r="54" spans="1:6" x14ac:dyDescent="0.45">
      <c r="A54" t="s">
        <v>47</v>
      </c>
      <c r="B54" t="s">
        <v>43</v>
      </c>
      <c r="C54" s="5">
        <v>45778</v>
      </c>
      <c r="D54">
        <v>60</v>
      </c>
      <c r="E54">
        <v>75</v>
      </c>
      <c r="F54" s="4">
        <f t="shared" si="1"/>
        <v>1.25</v>
      </c>
    </row>
    <row r="55" spans="1:6" x14ac:dyDescent="0.45">
      <c r="A55" t="s">
        <v>47</v>
      </c>
      <c r="B55" t="s">
        <v>24</v>
      </c>
      <c r="C55" s="5">
        <v>45778</v>
      </c>
      <c r="D55">
        <v>60</v>
      </c>
      <c r="E55">
        <v>59</v>
      </c>
      <c r="F55" s="4">
        <f t="shared" si="1"/>
        <v>0.98333333333333328</v>
      </c>
    </row>
    <row r="56" spans="1:6" x14ac:dyDescent="0.45">
      <c r="A56" t="s">
        <v>47</v>
      </c>
      <c r="B56" t="s">
        <v>24</v>
      </c>
      <c r="C56" s="5">
        <v>45809</v>
      </c>
      <c r="D56">
        <v>100</v>
      </c>
      <c r="E56">
        <v>112</v>
      </c>
      <c r="F56" s="4">
        <f t="shared" si="1"/>
        <v>1.1200000000000001</v>
      </c>
    </row>
    <row r="57" spans="1:6" x14ac:dyDescent="0.45">
      <c r="A57" t="s">
        <v>26</v>
      </c>
      <c r="B57" t="s">
        <v>49</v>
      </c>
      <c r="C57" s="5">
        <v>45778</v>
      </c>
      <c r="D57">
        <v>160</v>
      </c>
      <c r="E57">
        <v>193</v>
      </c>
      <c r="F57" s="4">
        <f t="shared" si="1"/>
        <v>1.20625</v>
      </c>
    </row>
    <row r="58" spans="1:6" x14ac:dyDescent="0.45">
      <c r="A58" t="s">
        <v>26</v>
      </c>
      <c r="B58" t="s">
        <v>49</v>
      </c>
      <c r="C58" s="5">
        <v>45809</v>
      </c>
      <c r="D58">
        <v>60</v>
      </c>
      <c r="E58">
        <v>57</v>
      </c>
      <c r="F58" s="4">
        <f t="shared" si="1"/>
        <v>0.95</v>
      </c>
    </row>
    <row r="59" spans="1:6" x14ac:dyDescent="0.45">
      <c r="A59" t="s">
        <v>26</v>
      </c>
      <c r="B59" t="s">
        <v>49</v>
      </c>
      <c r="C59" s="5">
        <v>45839</v>
      </c>
      <c r="D59">
        <v>60</v>
      </c>
      <c r="E59">
        <v>37</v>
      </c>
      <c r="F59" s="4">
        <f t="shared" si="1"/>
        <v>0.6166666666666667</v>
      </c>
    </row>
    <row r="60" spans="1:6" x14ac:dyDescent="0.45">
      <c r="A60" t="s">
        <v>26</v>
      </c>
      <c r="B60" t="s">
        <v>49</v>
      </c>
      <c r="C60" s="5">
        <v>45870</v>
      </c>
      <c r="D60">
        <v>160</v>
      </c>
      <c r="E60">
        <v>164</v>
      </c>
      <c r="F60" s="4">
        <f t="shared" si="1"/>
        <v>1.0249999999999999</v>
      </c>
    </row>
    <row r="61" spans="1:6" x14ac:dyDescent="0.45">
      <c r="A61" t="s">
        <v>26</v>
      </c>
      <c r="B61" t="s">
        <v>49</v>
      </c>
      <c r="C61" s="5">
        <v>45901</v>
      </c>
      <c r="D61">
        <v>120</v>
      </c>
      <c r="E61">
        <v>130</v>
      </c>
      <c r="F61" s="4">
        <f t="shared" si="1"/>
        <v>1.0833333333333333</v>
      </c>
    </row>
    <row r="62" spans="1:6" x14ac:dyDescent="0.45">
      <c r="A62" t="s">
        <v>26</v>
      </c>
      <c r="B62" t="s">
        <v>59</v>
      </c>
      <c r="C62" s="5">
        <v>45778</v>
      </c>
      <c r="D62">
        <v>100</v>
      </c>
      <c r="E62">
        <v>124</v>
      </c>
      <c r="F62" s="4">
        <f t="shared" si="1"/>
        <v>1.24</v>
      </c>
    </row>
    <row r="63" spans="1:6" x14ac:dyDescent="0.45">
      <c r="A63" t="s">
        <v>26</v>
      </c>
      <c r="B63" t="s">
        <v>59</v>
      </c>
      <c r="C63" s="5">
        <v>45809</v>
      </c>
      <c r="D63">
        <v>60</v>
      </c>
      <c r="E63">
        <v>68</v>
      </c>
      <c r="F63" s="4">
        <f t="shared" si="1"/>
        <v>1.1333333333333333</v>
      </c>
    </row>
    <row r="64" spans="1:6" x14ac:dyDescent="0.45">
      <c r="A64" t="s">
        <v>26</v>
      </c>
      <c r="B64" t="s">
        <v>59</v>
      </c>
      <c r="C64" s="5">
        <v>45839</v>
      </c>
      <c r="D64">
        <v>60</v>
      </c>
      <c r="E64">
        <v>37</v>
      </c>
      <c r="F64" s="4">
        <f t="shared" si="1"/>
        <v>0.6166666666666667</v>
      </c>
    </row>
    <row r="65" spans="1:6" x14ac:dyDescent="0.45">
      <c r="A65" t="s">
        <v>50</v>
      </c>
      <c r="B65" t="s">
        <v>32</v>
      </c>
      <c r="C65" s="5">
        <v>45778</v>
      </c>
      <c r="D65">
        <v>120</v>
      </c>
      <c r="E65">
        <v>97</v>
      </c>
      <c r="F65" s="4">
        <f t="shared" si="1"/>
        <v>0.80833333333333335</v>
      </c>
    </row>
    <row r="66" spans="1:6" x14ac:dyDescent="0.45">
      <c r="A66" t="s">
        <v>50</v>
      </c>
      <c r="B66" t="s">
        <v>32</v>
      </c>
      <c r="C66" s="5">
        <v>45809</v>
      </c>
      <c r="D66">
        <v>120</v>
      </c>
      <c r="E66">
        <v>105</v>
      </c>
      <c r="F66" s="4">
        <f t="shared" ref="F66:F97" si="2">E66/D66</f>
        <v>0.875</v>
      </c>
    </row>
    <row r="67" spans="1:6" x14ac:dyDescent="0.45">
      <c r="A67" t="s">
        <v>50</v>
      </c>
      <c r="B67" t="s">
        <v>32</v>
      </c>
      <c r="C67" s="5">
        <v>45839</v>
      </c>
      <c r="D67">
        <v>60</v>
      </c>
      <c r="E67">
        <v>38</v>
      </c>
      <c r="F67" s="4">
        <f t="shared" si="2"/>
        <v>0.6333333333333333</v>
      </c>
    </row>
    <row r="68" spans="1:6" x14ac:dyDescent="0.45">
      <c r="A68" t="s">
        <v>50</v>
      </c>
      <c r="B68" t="s">
        <v>46</v>
      </c>
      <c r="C68" s="5">
        <v>45658</v>
      </c>
      <c r="D68">
        <v>100</v>
      </c>
      <c r="E68">
        <v>103</v>
      </c>
      <c r="F68" s="4">
        <f t="shared" si="2"/>
        <v>1.03</v>
      </c>
    </row>
    <row r="69" spans="1:6" x14ac:dyDescent="0.45">
      <c r="A69" t="s">
        <v>50</v>
      </c>
      <c r="B69" t="s">
        <v>46</v>
      </c>
      <c r="C69" s="5">
        <v>45689</v>
      </c>
      <c r="D69">
        <v>120</v>
      </c>
      <c r="E69">
        <v>105</v>
      </c>
      <c r="F69" s="4">
        <f t="shared" si="2"/>
        <v>0.875</v>
      </c>
    </row>
    <row r="70" spans="1:6" x14ac:dyDescent="0.45">
      <c r="A70" t="s">
        <v>50</v>
      </c>
      <c r="B70" t="s">
        <v>46</v>
      </c>
      <c r="C70" s="5">
        <v>45717</v>
      </c>
      <c r="D70">
        <v>120</v>
      </c>
      <c r="E70">
        <v>82</v>
      </c>
      <c r="F70" s="4">
        <f t="shared" si="2"/>
        <v>0.68333333333333335</v>
      </c>
    </row>
    <row r="71" spans="1:6" x14ac:dyDescent="0.45">
      <c r="A71" t="s">
        <v>50</v>
      </c>
      <c r="B71" t="s">
        <v>46</v>
      </c>
      <c r="C71" s="5">
        <v>45748</v>
      </c>
      <c r="D71">
        <v>60</v>
      </c>
      <c r="E71">
        <v>56</v>
      </c>
      <c r="F71" s="4">
        <f t="shared" si="2"/>
        <v>0.93333333333333335</v>
      </c>
    </row>
    <row r="72" spans="1:6" x14ac:dyDescent="0.45">
      <c r="A72" t="s">
        <v>21</v>
      </c>
      <c r="B72" t="s">
        <v>59</v>
      </c>
      <c r="C72" s="5">
        <v>45778</v>
      </c>
      <c r="D72">
        <v>120</v>
      </c>
      <c r="E72">
        <v>72</v>
      </c>
      <c r="F72" s="4">
        <f t="shared" si="2"/>
        <v>0.6</v>
      </c>
    </row>
    <row r="73" spans="1:6" x14ac:dyDescent="0.45">
      <c r="A73" t="s">
        <v>21</v>
      </c>
      <c r="B73" t="s">
        <v>59</v>
      </c>
      <c r="C73" s="5">
        <v>45809</v>
      </c>
      <c r="D73">
        <v>60</v>
      </c>
      <c r="E73">
        <v>43</v>
      </c>
      <c r="F73" s="4">
        <f t="shared" si="2"/>
        <v>0.71666666666666667</v>
      </c>
    </row>
    <row r="74" spans="1:6" x14ac:dyDescent="0.45">
      <c r="A74" t="s">
        <v>21</v>
      </c>
      <c r="B74" t="s">
        <v>59</v>
      </c>
      <c r="C74" s="5">
        <v>45839</v>
      </c>
      <c r="D74">
        <v>100</v>
      </c>
      <c r="E74">
        <v>100</v>
      </c>
      <c r="F74" s="4">
        <f t="shared" si="2"/>
        <v>1</v>
      </c>
    </row>
    <row r="75" spans="1:6" x14ac:dyDescent="0.45">
      <c r="A75" t="s">
        <v>21</v>
      </c>
      <c r="B75" t="s">
        <v>43</v>
      </c>
      <c r="C75" s="5">
        <v>45658</v>
      </c>
      <c r="D75">
        <v>120</v>
      </c>
      <c r="E75">
        <v>77</v>
      </c>
      <c r="F75" s="4">
        <f t="shared" si="2"/>
        <v>0.64166666666666672</v>
      </c>
    </row>
    <row r="76" spans="1:6" x14ac:dyDescent="0.45">
      <c r="A76" t="s">
        <v>21</v>
      </c>
      <c r="B76" t="s">
        <v>43</v>
      </c>
      <c r="C76" s="5">
        <v>45689</v>
      </c>
      <c r="D76">
        <v>160</v>
      </c>
      <c r="E76">
        <v>150</v>
      </c>
      <c r="F76" s="4">
        <f t="shared" si="2"/>
        <v>0.9375</v>
      </c>
    </row>
    <row r="77" spans="1:6" x14ac:dyDescent="0.45">
      <c r="A77" t="s">
        <v>33</v>
      </c>
      <c r="B77" t="s">
        <v>43</v>
      </c>
      <c r="C77" s="5">
        <v>45658</v>
      </c>
      <c r="D77">
        <v>60</v>
      </c>
      <c r="E77">
        <v>43</v>
      </c>
      <c r="F77" s="4">
        <f t="shared" si="2"/>
        <v>0.71666666666666667</v>
      </c>
    </row>
    <row r="78" spans="1:6" x14ac:dyDescent="0.45">
      <c r="A78" t="s">
        <v>33</v>
      </c>
      <c r="B78" t="s">
        <v>43</v>
      </c>
      <c r="C78" s="5">
        <v>45689</v>
      </c>
      <c r="D78">
        <v>40</v>
      </c>
      <c r="E78">
        <v>44</v>
      </c>
      <c r="F78" s="4">
        <f t="shared" si="2"/>
        <v>1.1000000000000001</v>
      </c>
    </row>
    <row r="79" spans="1:6" x14ac:dyDescent="0.45">
      <c r="A79" t="s">
        <v>33</v>
      </c>
      <c r="B79" t="s">
        <v>57</v>
      </c>
      <c r="C79" s="5">
        <v>45748</v>
      </c>
      <c r="D79">
        <v>120</v>
      </c>
      <c r="E79">
        <v>74</v>
      </c>
      <c r="F79" s="4">
        <f t="shared" si="2"/>
        <v>0.6166666666666667</v>
      </c>
    </row>
    <row r="80" spans="1:6" x14ac:dyDescent="0.45">
      <c r="A80" t="s">
        <v>33</v>
      </c>
      <c r="B80" t="s">
        <v>57</v>
      </c>
      <c r="C80" s="5">
        <v>45778</v>
      </c>
      <c r="D80">
        <v>40</v>
      </c>
      <c r="E80">
        <v>36</v>
      </c>
      <c r="F80" s="4">
        <f t="shared" si="2"/>
        <v>0.9</v>
      </c>
    </row>
    <row r="81" spans="1:6" x14ac:dyDescent="0.45">
      <c r="A81" t="s">
        <v>33</v>
      </c>
      <c r="B81" t="s">
        <v>57</v>
      </c>
      <c r="C81" s="5">
        <v>45809</v>
      </c>
      <c r="D81">
        <v>120</v>
      </c>
      <c r="E81">
        <v>148</v>
      </c>
      <c r="F81" s="4">
        <f t="shared" si="2"/>
        <v>1.2333333333333334</v>
      </c>
    </row>
    <row r="82" spans="1:6" x14ac:dyDescent="0.45">
      <c r="A82" t="s">
        <v>33</v>
      </c>
      <c r="B82" t="s">
        <v>57</v>
      </c>
      <c r="C82" s="5">
        <v>45839</v>
      </c>
      <c r="D82">
        <v>120</v>
      </c>
      <c r="E82">
        <v>112</v>
      </c>
      <c r="F82" s="4">
        <f t="shared" si="2"/>
        <v>0.93333333333333335</v>
      </c>
    </row>
    <row r="83" spans="1:6" x14ac:dyDescent="0.45">
      <c r="A83" t="s">
        <v>33</v>
      </c>
      <c r="B83" t="s">
        <v>57</v>
      </c>
      <c r="C83" s="5">
        <v>45870</v>
      </c>
      <c r="D83">
        <v>160</v>
      </c>
      <c r="E83">
        <v>125</v>
      </c>
      <c r="F83" s="4">
        <f t="shared" si="2"/>
        <v>0.78125</v>
      </c>
    </row>
    <row r="84" spans="1:6" x14ac:dyDescent="0.45">
      <c r="A84" t="s">
        <v>33</v>
      </c>
      <c r="B84" t="s">
        <v>19</v>
      </c>
      <c r="C84" s="5">
        <v>45658</v>
      </c>
      <c r="D84">
        <v>120</v>
      </c>
      <c r="E84">
        <v>145</v>
      </c>
      <c r="F84" s="4">
        <f t="shared" si="2"/>
        <v>1.2083333333333333</v>
      </c>
    </row>
    <row r="85" spans="1:6" x14ac:dyDescent="0.45">
      <c r="A85" t="s">
        <v>33</v>
      </c>
      <c r="B85" t="s">
        <v>19</v>
      </c>
      <c r="C85" s="5">
        <v>45689</v>
      </c>
      <c r="D85">
        <v>160</v>
      </c>
      <c r="E85">
        <v>150</v>
      </c>
      <c r="F85" s="4">
        <f t="shared" si="2"/>
        <v>0.9375</v>
      </c>
    </row>
    <row r="86" spans="1:6" x14ac:dyDescent="0.45">
      <c r="A86" t="s">
        <v>33</v>
      </c>
      <c r="B86" t="s">
        <v>19</v>
      </c>
      <c r="C86" s="5">
        <v>45717</v>
      </c>
      <c r="D86">
        <v>80</v>
      </c>
      <c r="E86">
        <v>96</v>
      </c>
      <c r="F86" s="4">
        <f t="shared" si="2"/>
        <v>1.2</v>
      </c>
    </row>
    <row r="87" spans="1:6" x14ac:dyDescent="0.45">
      <c r="A87" t="s">
        <v>33</v>
      </c>
      <c r="B87" t="s">
        <v>19</v>
      </c>
      <c r="C87" s="5">
        <v>45748</v>
      </c>
      <c r="D87">
        <v>60</v>
      </c>
      <c r="E87">
        <v>69</v>
      </c>
      <c r="F87" s="4">
        <f t="shared" si="2"/>
        <v>1.1499999999999999</v>
      </c>
    </row>
    <row r="88" spans="1:6" x14ac:dyDescent="0.45">
      <c r="A88" t="s">
        <v>33</v>
      </c>
      <c r="B88" t="s">
        <v>19</v>
      </c>
      <c r="C88" s="5">
        <v>45778</v>
      </c>
      <c r="D88">
        <v>60</v>
      </c>
      <c r="E88">
        <v>52</v>
      </c>
      <c r="F88" s="4">
        <f t="shared" si="2"/>
        <v>0.8666666666666667</v>
      </c>
    </row>
    <row r="89" spans="1:6" x14ac:dyDescent="0.45">
      <c r="A89" t="s">
        <v>33</v>
      </c>
      <c r="B89" t="s">
        <v>46</v>
      </c>
      <c r="C89" s="5">
        <v>45658</v>
      </c>
      <c r="D89">
        <v>100</v>
      </c>
      <c r="E89">
        <v>81</v>
      </c>
      <c r="F89" s="4">
        <f t="shared" si="2"/>
        <v>0.81</v>
      </c>
    </row>
    <row r="90" spans="1:6" x14ac:dyDescent="0.45">
      <c r="A90" t="s">
        <v>33</v>
      </c>
      <c r="B90" t="s">
        <v>46</v>
      </c>
      <c r="C90" s="5">
        <v>45689</v>
      </c>
      <c r="D90">
        <v>160</v>
      </c>
      <c r="E90">
        <v>121</v>
      </c>
      <c r="F90" s="4">
        <f t="shared" si="2"/>
        <v>0.75624999999999998</v>
      </c>
    </row>
    <row r="91" spans="1:6" x14ac:dyDescent="0.45">
      <c r="A91" t="s">
        <v>33</v>
      </c>
      <c r="B91" t="s">
        <v>46</v>
      </c>
      <c r="C91" s="5">
        <v>45717</v>
      </c>
      <c r="D91">
        <v>40</v>
      </c>
      <c r="E91">
        <v>30</v>
      </c>
      <c r="F91" s="4">
        <f t="shared" si="2"/>
        <v>0.75</v>
      </c>
    </row>
    <row r="92" spans="1:6" x14ac:dyDescent="0.45">
      <c r="A92" t="s">
        <v>33</v>
      </c>
      <c r="B92" t="s">
        <v>46</v>
      </c>
      <c r="C92" s="5">
        <v>45748</v>
      </c>
      <c r="D92">
        <v>80</v>
      </c>
      <c r="E92">
        <v>89</v>
      </c>
      <c r="F92" s="4">
        <f t="shared" si="2"/>
        <v>1.1125</v>
      </c>
    </row>
    <row r="93" spans="1:6" x14ac:dyDescent="0.45">
      <c r="A93" t="s">
        <v>33</v>
      </c>
      <c r="B93" t="s">
        <v>46</v>
      </c>
      <c r="C93" s="5">
        <v>45778</v>
      </c>
      <c r="D93">
        <v>60</v>
      </c>
      <c r="E93">
        <v>73</v>
      </c>
      <c r="F93" s="4">
        <f t="shared" si="2"/>
        <v>1.2166666666666666</v>
      </c>
    </row>
  </sheetData>
  <conditionalFormatting sqref="F2:F93">
    <cfRule type="cellIs" dxfId="15" priority="1" operator="greaterThan">
      <formula>1.1</formula>
    </cfRule>
    <cfRule type="cellIs" dxfId="14" priority="2" operator="between">
      <formula>0.85</formula>
      <formula>1.1</formula>
    </cfRule>
    <cfRule type="cellIs" dxfId="13" priority="3" operator="lessThan">
      <formula>0.85</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5"/>
  <sheetViews>
    <sheetView workbookViewId="0">
      <pane ySplit="1" topLeftCell="A2" activePane="bottomLeft" state="frozen"/>
      <selection pane="bottomLeft"/>
    </sheetView>
  </sheetViews>
  <sheetFormatPr defaultRowHeight="14.25" x14ac:dyDescent="0.45"/>
  <cols>
    <col min="1" max="1" width="10" customWidth="1"/>
    <col min="2" max="2" width="30" customWidth="1"/>
    <col min="3" max="3" width="12" customWidth="1"/>
    <col min="4" max="4" width="22" customWidth="1"/>
  </cols>
  <sheetData>
    <row r="1" spans="1:4" x14ac:dyDescent="0.45">
      <c r="A1" s="1" t="s">
        <v>0</v>
      </c>
      <c r="B1" s="1" t="s">
        <v>1</v>
      </c>
      <c r="C1" s="1" t="s">
        <v>62</v>
      </c>
      <c r="D1" s="1" t="s">
        <v>68</v>
      </c>
    </row>
    <row r="2" spans="1:4" x14ac:dyDescent="0.45">
      <c r="A2" t="s">
        <v>12</v>
      </c>
      <c r="B2" t="s">
        <v>13</v>
      </c>
      <c r="C2" s="5">
        <v>45748</v>
      </c>
      <c r="D2" s="3">
        <v>58250</v>
      </c>
    </row>
    <row r="3" spans="1:4" x14ac:dyDescent="0.45">
      <c r="A3" t="s">
        <v>12</v>
      </c>
      <c r="B3" t="s">
        <v>13</v>
      </c>
      <c r="C3" s="5">
        <v>45778</v>
      </c>
      <c r="D3" s="3">
        <v>44120</v>
      </c>
    </row>
    <row r="4" spans="1:4" x14ac:dyDescent="0.45">
      <c r="A4" t="s">
        <v>12</v>
      </c>
      <c r="B4" t="s">
        <v>13</v>
      </c>
      <c r="C4" s="5">
        <v>45809</v>
      </c>
      <c r="D4" s="3">
        <v>38360</v>
      </c>
    </row>
    <row r="5" spans="1:4" x14ac:dyDescent="0.45">
      <c r="A5" t="s">
        <v>12</v>
      </c>
      <c r="B5" t="s">
        <v>13</v>
      </c>
      <c r="C5" s="5">
        <v>45839</v>
      </c>
      <c r="D5" s="3">
        <v>32460</v>
      </c>
    </row>
    <row r="6" spans="1:4" x14ac:dyDescent="0.45">
      <c r="A6" t="s">
        <v>18</v>
      </c>
      <c r="B6" t="s">
        <v>19</v>
      </c>
      <c r="C6" s="5">
        <v>45658</v>
      </c>
      <c r="D6" s="3">
        <v>28440</v>
      </c>
    </row>
    <row r="7" spans="1:4" x14ac:dyDescent="0.45">
      <c r="A7" t="s">
        <v>18</v>
      </c>
      <c r="B7" t="s">
        <v>19</v>
      </c>
      <c r="C7" s="5">
        <v>45689</v>
      </c>
      <c r="D7" s="3">
        <v>36630</v>
      </c>
    </row>
    <row r="8" spans="1:4" x14ac:dyDescent="0.45">
      <c r="A8" t="s">
        <v>18</v>
      </c>
      <c r="B8" t="s">
        <v>19</v>
      </c>
      <c r="C8" s="5">
        <v>45717</v>
      </c>
      <c r="D8" s="3">
        <v>17460</v>
      </c>
    </row>
    <row r="9" spans="1:4" x14ac:dyDescent="0.45">
      <c r="A9" t="s">
        <v>18</v>
      </c>
      <c r="B9" t="s">
        <v>19</v>
      </c>
      <c r="C9" s="5">
        <v>45748</v>
      </c>
      <c r="D9" s="3">
        <v>40700</v>
      </c>
    </row>
    <row r="10" spans="1:4" x14ac:dyDescent="0.45">
      <c r="A10" t="s">
        <v>18</v>
      </c>
      <c r="B10" t="s">
        <v>19</v>
      </c>
      <c r="C10" s="5">
        <v>45778</v>
      </c>
      <c r="D10" s="3">
        <v>19480</v>
      </c>
    </row>
    <row r="11" spans="1:4" x14ac:dyDescent="0.45">
      <c r="A11" t="s">
        <v>18</v>
      </c>
      <c r="B11" t="s">
        <v>19</v>
      </c>
      <c r="C11" s="5">
        <v>45809</v>
      </c>
      <c r="D11" s="3">
        <v>34320</v>
      </c>
    </row>
    <row r="12" spans="1:4" x14ac:dyDescent="0.45">
      <c r="A12" t="s">
        <v>18</v>
      </c>
      <c r="B12" t="s">
        <v>19</v>
      </c>
      <c r="C12" s="5">
        <v>45839</v>
      </c>
      <c r="D12" s="3">
        <v>21270</v>
      </c>
    </row>
    <row r="13" spans="1:4" x14ac:dyDescent="0.45">
      <c r="A13" t="s">
        <v>18</v>
      </c>
      <c r="B13" t="s">
        <v>19</v>
      </c>
      <c r="C13" s="5">
        <v>45870</v>
      </c>
      <c r="D13" s="3">
        <v>35450</v>
      </c>
    </row>
    <row r="14" spans="1:4" x14ac:dyDescent="0.45">
      <c r="A14" t="s">
        <v>18</v>
      </c>
      <c r="B14" t="s">
        <v>19</v>
      </c>
      <c r="C14" s="5">
        <v>45901</v>
      </c>
      <c r="D14" s="3">
        <v>43900</v>
      </c>
    </row>
    <row r="15" spans="1:4" x14ac:dyDescent="0.45">
      <c r="A15" t="s">
        <v>18</v>
      </c>
      <c r="B15" t="s">
        <v>19</v>
      </c>
      <c r="C15" s="5">
        <v>45931</v>
      </c>
      <c r="D15" s="3">
        <v>26560</v>
      </c>
    </row>
    <row r="16" spans="1:4" x14ac:dyDescent="0.45">
      <c r="A16" t="s">
        <v>23</v>
      </c>
      <c r="B16" t="s">
        <v>24</v>
      </c>
      <c r="C16" s="5">
        <v>45778</v>
      </c>
      <c r="D16" s="3">
        <v>183090</v>
      </c>
    </row>
    <row r="17" spans="1:4" x14ac:dyDescent="0.45">
      <c r="A17" t="s">
        <v>23</v>
      </c>
      <c r="B17" t="s">
        <v>24</v>
      </c>
      <c r="C17" s="5">
        <v>45809</v>
      </c>
      <c r="D17" s="3">
        <v>170240</v>
      </c>
    </row>
    <row r="18" spans="1:4" x14ac:dyDescent="0.45">
      <c r="A18" t="s">
        <v>23</v>
      </c>
      <c r="B18" t="s">
        <v>24</v>
      </c>
      <c r="C18" s="5">
        <v>45839</v>
      </c>
      <c r="D18" s="3">
        <v>117690</v>
      </c>
    </row>
    <row r="19" spans="1:4" x14ac:dyDescent="0.45">
      <c r="A19" t="s">
        <v>23</v>
      </c>
      <c r="B19" t="s">
        <v>24</v>
      </c>
      <c r="C19" s="5">
        <v>45870</v>
      </c>
      <c r="D19" s="3">
        <v>172090</v>
      </c>
    </row>
    <row r="20" spans="1:4" x14ac:dyDescent="0.45">
      <c r="A20" t="s">
        <v>27</v>
      </c>
      <c r="B20" t="s">
        <v>28</v>
      </c>
      <c r="C20" s="5">
        <v>45748</v>
      </c>
      <c r="D20" s="3">
        <v>58880</v>
      </c>
    </row>
    <row r="21" spans="1:4" x14ac:dyDescent="0.45">
      <c r="A21" t="s">
        <v>27</v>
      </c>
      <c r="B21" t="s">
        <v>28</v>
      </c>
      <c r="C21" s="5">
        <v>45778</v>
      </c>
      <c r="D21" s="3">
        <v>67360</v>
      </c>
    </row>
    <row r="22" spans="1:4" x14ac:dyDescent="0.45">
      <c r="A22" t="s">
        <v>27</v>
      </c>
      <c r="B22" t="s">
        <v>28</v>
      </c>
      <c r="C22" s="5">
        <v>45809</v>
      </c>
      <c r="D22" s="3">
        <v>84540</v>
      </c>
    </row>
    <row r="23" spans="1:4" x14ac:dyDescent="0.45">
      <c r="A23" t="s">
        <v>27</v>
      </c>
      <c r="B23" t="s">
        <v>28</v>
      </c>
      <c r="C23" s="5">
        <v>45839</v>
      </c>
      <c r="D23" s="3">
        <v>62140</v>
      </c>
    </row>
    <row r="24" spans="1:4" x14ac:dyDescent="0.45">
      <c r="A24" t="s">
        <v>27</v>
      </c>
      <c r="B24" t="s">
        <v>28</v>
      </c>
      <c r="C24" s="5">
        <v>45870</v>
      </c>
      <c r="D24" s="3">
        <v>71490</v>
      </c>
    </row>
    <row r="25" spans="1:4" x14ac:dyDescent="0.45">
      <c r="A25" t="s">
        <v>27</v>
      </c>
      <c r="B25" t="s">
        <v>28</v>
      </c>
      <c r="C25" s="5">
        <v>45901</v>
      </c>
      <c r="D25" s="3">
        <v>55890</v>
      </c>
    </row>
    <row r="26" spans="1:4" x14ac:dyDescent="0.45">
      <c r="A26" t="s">
        <v>31</v>
      </c>
      <c r="B26" t="s">
        <v>32</v>
      </c>
      <c r="C26" s="5">
        <v>45778</v>
      </c>
      <c r="D26" s="3">
        <v>59880</v>
      </c>
    </row>
    <row r="27" spans="1:4" x14ac:dyDescent="0.45">
      <c r="A27" t="s">
        <v>31</v>
      </c>
      <c r="B27" t="s">
        <v>32</v>
      </c>
      <c r="C27" s="5">
        <v>45809</v>
      </c>
      <c r="D27" s="3">
        <v>25120</v>
      </c>
    </row>
    <row r="28" spans="1:4" x14ac:dyDescent="0.45">
      <c r="A28" t="s">
        <v>31</v>
      </c>
      <c r="B28" t="s">
        <v>32</v>
      </c>
      <c r="C28" s="5">
        <v>45839</v>
      </c>
      <c r="D28" s="3">
        <v>58140</v>
      </c>
    </row>
    <row r="29" spans="1:4" x14ac:dyDescent="0.45">
      <c r="A29" t="s">
        <v>31</v>
      </c>
      <c r="B29" t="s">
        <v>32</v>
      </c>
      <c r="C29" s="5">
        <v>45870</v>
      </c>
      <c r="D29" s="3">
        <v>29860</v>
      </c>
    </row>
    <row r="30" spans="1:4" x14ac:dyDescent="0.45">
      <c r="A30" t="s">
        <v>31</v>
      </c>
      <c r="B30" t="s">
        <v>32</v>
      </c>
      <c r="C30" s="5">
        <v>45901</v>
      </c>
      <c r="D30" s="3">
        <v>56420</v>
      </c>
    </row>
    <row r="31" spans="1:4" x14ac:dyDescent="0.45">
      <c r="A31" t="s">
        <v>31</v>
      </c>
      <c r="B31" t="s">
        <v>32</v>
      </c>
      <c r="C31" s="5">
        <v>45931</v>
      </c>
      <c r="D31" s="3">
        <v>23940</v>
      </c>
    </row>
    <row r="32" spans="1:4" x14ac:dyDescent="0.45">
      <c r="A32" t="s">
        <v>31</v>
      </c>
      <c r="B32" t="s">
        <v>32</v>
      </c>
      <c r="C32" s="5">
        <v>45962</v>
      </c>
      <c r="D32" s="3">
        <v>31640</v>
      </c>
    </row>
    <row r="33" spans="1:4" x14ac:dyDescent="0.45">
      <c r="A33" t="s">
        <v>35</v>
      </c>
      <c r="B33" t="s">
        <v>36</v>
      </c>
      <c r="C33" s="5">
        <v>45778</v>
      </c>
      <c r="D33" s="3">
        <v>81710</v>
      </c>
    </row>
    <row r="34" spans="1:4" x14ac:dyDescent="0.45">
      <c r="A34" t="s">
        <v>35</v>
      </c>
      <c r="B34" t="s">
        <v>36</v>
      </c>
      <c r="C34" s="5">
        <v>45809</v>
      </c>
      <c r="D34" s="3">
        <v>39610</v>
      </c>
    </row>
    <row r="35" spans="1:4" x14ac:dyDescent="0.45">
      <c r="A35" t="s">
        <v>35</v>
      </c>
      <c r="B35" t="s">
        <v>36</v>
      </c>
      <c r="C35" s="5">
        <v>45839</v>
      </c>
      <c r="D35" s="3">
        <v>72980</v>
      </c>
    </row>
    <row r="36" spans="1:4" x14ac:dyDescent="0.45">
      <c r="A36" t="s">
        <v>35</v>
      </c>
      <c r="B36" t="s">
        <v>36</v>
      </c>
      <c r="C36" s="5">
        <v>45870</v>
      </c>
      <c r="D36" s="3">
        <v>76700</v>
      </c>
    </row>
    <row r="37" spans="1:4" x14ac:dyDescent="0.45">
      <c r="A37" t="s">
        <v>35</v>
      </c>
      <c r="B37" t="s">
        <v>36</v>
      </c>
      <c r="C37" s="5">
        <v>45901</v>
      </c>
      <c r="D37" s="3">
        <v>78440</v>
      </c>
    </row>
    <row r="38" spans="1:4" x14ac:dyDescent="0.45">
      <c r="A38" t="s">
        <v>35</v>
      </c>
      <c r="B38" t="s">
        <v>36</v>
      </c>
      <c r="C38" s="5">
        <v>45931</v>
      </c>
      <c r="D38" s="3">
        <v>68350</v>
      </c>
    </row>
    <row r="39" spans="1:4" x14ac:dyDescent="0.45">
      <c r="A39" t="s">
        <v>35</v>
      </c>
      <c r="B39" t="s">
        <v>36</v>
      </c>
      <c r="C39" s="5">
        <v>45962</v>
      </c>
      <c r="D39" s="3">
        <v>84040</v>
      </c>
    </row>
    <row r="40" spans="1:4" x14ac:dyDescent="0.45">
      <c r="A40" t="s">
        <v>35</v>
      </c>
      <c r="B40" t="s">
        <v>36</v>
      </c>
      <c r="C40" s="5">
        <v>45992</v>
      </c>
      <c r="D40" s="3">
        <v>52650</v>
      </c>
    </row>
    <row r="41" spans="1:4" x14ac:dyDescent="0.45">
      <c r="A41" t="s">
        <v>35</v>
      </c>
      <c r="B41" t="s">
        <v>36</v>
      </c>
      <c r="C41" s="5">
        <v>46023</v>
      </c>
      <c r="D41" s="3">
        <v>60250</v>
      </c>
    </row>
    <row r="42" spans="1:4" x14ac:dyDescent="0.45">
      <c r="A42" t="s">
        <v>35</v>
      </c>
      <c r="B42" t="s">
        <v>36</v>
      </c>
      <c r="C42" s="5">
        <v>46054</v>
      </c>
      <c r="D42" s="3">
        <v>58980</v>
      </c>
    </row>
    <row r="43" spans="1:4" x14ac:dyDescent="0.45">
      <c r="A43" t="s">
        <v>38</v>
      </c>
      <c r="B43" t="s">
        <v>39</v>
      </c>
      <c r="C43" s="5">
        <v>45689</v>
      </c>
      <c r="D43" s="3">
        <v>22880</v>
      </c>
    </row>
    <row r="44" spans="1:4" x14ac:dyDescent="0.45">
      <c r="A44" t="s">
        <v>38</v>
      </c>
      <c r="B44" t="s">
        <v>39</v>
      </c>
      <c r="C44" s="5">
        <v>45717</v>
      </c>
      <c r="D44" s="3">
        <v>19020</v>
      </c>
    </row>
    <row r="45" spans="1:4" x14ac:dyDescent="0.45">
      <c r="A45" t="s">
        <v>38</v>
      </c>
      <c r="B45" t="s">
        <v>39</v>
      </c>
      <c r="C45" s="5">
        <v>45748</v>
      </c>
      <c r="D45" s="3">
        <v>17920</v>
      </c>
    </row>
    <row r="46" spans="1:4" x14ac:dyDescent="0.45">
      <c r="A46" t="s">
        <v>38</v>
      </c>
      <c r="B46" t="s">
        <v>39</v>
      </c>
      <c r="C46" s="5">
        <v>45778</v>
      </c>
      <c r="D46" s="3">
        <v>29890</v>
      </c>
    </row>
    <row r="47" spans="1:4" x14ac:dyDescent="0.45">
      <c r="A47" t="s">
        <v>38</v>
      </c>
      <c r="B47" t="s">
        <v>39</v>
      </c>
      <c r="C47" s="5">
        <v>45809</v>
      </c>
      <c r="D47" s="3">
        <v>15720</v>
      </c>
    </row>
    <row r="48" spans="1:4" x14ac:dyDescent="0.45">
      <c r="A48" t="s">
        <v>38</v>
      </c>
      <c r="B48" t="s">
        <v>39</v>
      </c>
      <c r="C48" s="5">
        <v>45839</v>
      </c>
      <c r="D48" s="3">
        <v>32090</v>
      </c>
    </row>
    <row r="49" spans="1:4" x14ac:dyDescent="0.45">
      <c r="A49" t="s">
        <v>38</v>
      </c>
      <c r="B49" t="s">
        <v>39</v>
      </c>
      <c r="C49" s="5">
        <v>45870</v>
      </c>
      <c r="D49" s="3">
        <v>17690</v>
      </c>
    </row>
    <row r="50" spans="1:4" x14ac:dyDescent="0.45">
      <c r="A50" t="s">
        <v>42</v>
      </c>
      <c r="B50" t="s">
        <v>43</v>
      </c>
      <c r="C50" s="5">
        <v>45658</v>
      </c>
      <c r="D50" s="3">
        <v>71170</v>
      </c>
    </row>
    <row r="51" spans="1:4" x14ac:dyDescent="0.45">
      <c r="A51" t="s">
        <v>42</v>
      </c>
      <c r="B51" t="s">
        <v>43</v>
      </c>
      <c r="C51" s="5">
        <v>45689</v>
      </c>
      <c r="D51" s="3">
        <v>81040</v>
      </c>
    </row>
    <row r="52" spans="1:4" x14ac:dyDescent="0.45">
      <c r="A52" t="s">
        <v>42</v>
      </c>
      <c r="B52" t="s">
        <v>43</v>
      </c>
      <c r="C52" s="5">
        <v>45717</v>
      </c>
      <c r="D52" s="3">
        <v>104730</v>
      </c>
    </row>
    <row r="53" spans="1:4" x14ac:dyDescent="0.45">
      <c r="A53" t="s">
        <v>42</v>
      </c>
      <c r="B53" t="s">
        <v>43</v>
      </c>
      <c r="C53" s="5">
        <v>45748</v>
      </c>
      <c r="D53" s="3">
        <v>152590</v>
      </c>
    </row>
    <row r="54" spans="1:4" x14ac:dyDescent="0.45">
      <c r="A54" t="s">
        <v>42</v>
      </c>
      <c r="B54" t="s">
        <v>43</v>
      </c>
      <c r="C54" s="5">
        <v>45778</v>
      </c>
      <c r="D54" s="3">
        <v>99470</v>
      </c>
    </row>
    <row r="55" spans="1:4" x14ac:dyDescent="0.45">
      <c r="A55" t="s">
        <v>45</v>
      </c>
      <c r="B55" t="s">
        <v>46</v>
      </c>
      <c r="C55" s="5">
        <v>45658</v>
      </c>
      <c r="D55" s="3">
        <v>143820</v>
      </c>
    </row>
    <row r="56" spans="1:4" x14ac:dyDescent="0.45">
      <c r="A56" t="s">
        <v>45</v>
      </c>
      <c r="B56" t="s">
        <v>46</v>
      </c>
      <c r="C56" s="5">
        <v>45689</v>
      </c>
      <c r="D56" s="3">
        <v>116960</v>
      </c>
    </row>
    <row r="57" spans="1:4" x14ac:dyDescent="0.45">
      <c r="A57" t="s">
        <v>45</v>
      </c>
      <c r="B57" t="s">
        <v>46</v>
      </c>
      <c r="C57" s="5">
        <v>45717</v>
      </c>
      <c r="D57" s="3">
        <v>96240</v>
      </c>
    </row>
    <row r="58" spans="1:4" x14ac:dyDescent="0.45">
      <c r="A58" t="s">
        <v>45</v>
      </c>
      <c r="B58" t="s">
        <v>46</v>
      </c>
      <c r="C58" s="5">
        <v>45748</v>
      </c>
      <c r="D58" s="3">
        <v>281130</v>
      </c>
    </row>
    <row r="59" spans="1:4" x14ac:dyDescent="0.45">
      <c r="A59" t="s">
        <v>45</v>
      </c>
      <c r="B59" t="s">
        <v>46</v>
      </c>
      <c r="C59" s="5">
        <v>45778</v>
      </c>
      <c r="D59" s="3">
        <v>172660</v>
      </c>
    </row>
    <row r="60" spans="1:4" x14ac:dyDescent="0.45">
      <c r="A60" t="s">
        <v>48</v>
      </c>
      <c r="B60" t="s">
        <v>49</v>
      </c>
      <c r="C60" s="5">
        <v>45778</v>
      </c>
      <c r="D60" s="3">
        <v>19750</v>
      </c>
    </row>
    <row r="61" spans="1:4" x14ac:dyDescent="0.45">
      <c r="A61" t="s">
        <v>48</v>
      </c>
      <c r="B61" t="s">
        <v>49</v>
      </c>
      <c r="C61" s="5">
        <v>45809</v>
      </c>
      <c r="D61" s="3">
        <v>15650</v>
      </c>
    </row>
    <row r="62" spans="1:4" x14ac:dyDescent="0.45">
      <c r="A62" t="s">
        <v>48</v>
      </c>
      <c r="B62" t="s">
        <v>49</v>
      </c>
      <c r="C62" s="5">
        <v>45839</v>
      </c>
      <c r="D62" s="3">
        <v>7580</v>
      </c>
    </row>
    <row r="63" spans="1:4" x14ac:dyDescent="0.45">
      <c r="A63" t="s">
        <v>48</v>
      </c>
      <c r="B63" t="s">
        <v>49</v>
      </c>
      <c r="C63" s="5">
        <v>45870</v>
      </c>
      <c r="D63" s="3">
        <v>16880</v>
      </c>
    </row>
    <row r="64" spans="1:4" x14ac:dyDescent="0.45">
      <c r="A64" t="s">
        <v>48</v>
      </c>
      <c r="B64" t="s">
        <v>49</v>
      </c>
      <c r="C64" s="5">
        <v>45901</v>
      </c>
      <c r="D64" s="3">
        <v>20070</v>
      </c>
    </row>
    <row r="65" spans="1:4" x14ac:dyDescent="0.45">
      <c r="A65" t="s">
        <v>48</v>
      </c>
      <c r="B65" t="s">
        <v>49</v>
      </c>
      <c r="C65" s="5">
        <v>45931</v>
      </c>
      <c r="D65" s="3">
        <v>20500</v>
      </c>
    </row>
    <row r="66" spans="1:4" x14ac:dyDescent="0.45">
      <c r="A66" t="s">
        <v>48</v>
      </c>
      <c r="B66" t="s">
        <v>49</v>
      </c>
      <c r="C66" s="5">
        <v>45962</v>
      </c>
      <c r="D66" s="3">
        <v>10630</v>
      </c>
    </row>
    <row r="67" spans="1:4" x14ac:dyDescent="0.45">
      <c r="A67" t="s">
        <v>48</v>
      </c>
      <c r="B67" t="s">
        <v>49</v>
      </c>
      <c r="C67" s="5">
        <v>45992</v>
      </c>
      <c r="D67" s="3">
        <v>9510</v>
      </c>
    </row>
    <row r="68" spans="1:4" x14ac:dyDescent="0.45">
      <c r="A68" t="s">
        <v>48</v>
      </c>
      <c r="B68" t="s">
        <v>49</v>
      </c>
      <c r="C68" s="5">
        <v>46023</v>
      </c>
      <c r="D68" s="3">
        <v>19990</v>
      </c>
    </row>
    <row r="69" spans="1:4" x14ac:dyDescent="0.45">
      <c r="A69" t="s">
        <v>48</v>
      </c>
      <c r="B69" t="s">
        <v>49</v>
      </c>
      <c r="C69" s="5">
        <v>46054</v>
      </c>
      <c r="D69" s="3">
        <v>15750</v>
      </c>
    </row>
    <row r="70" spans="1:4" x14ac:dyDescent="0.45">
      <c r="A70" t="s">
        <v>48</v>
      </c>
      <c r="B70" t="s">
        <v>49</v>
      </c>
      <c r="C70" s="5">
        <v>46082</v>
      </c>
      <c r="D70" s="3">
        <v>14390</v>
      </c>
    </row>
    <row r="71" spans="1:4" x14ac:dyDescent="0.45">
      <c r="A71" t="s">
        <v>52</v>
      </c>
      <c r="B71" t="s">
        <v>53</v>
      </c>
      <c r="C71" s="5">
        <v>45717</v>
      </c>
      <c r="D71" s="3">
        <v>25160</v>
      </c>
    </row>
    <row r="72" spans="1:4" x14ac:dyDescent="0.45">
      <c r="A72" t="s">
        <v>52</v>
      </c>
      <c r="B72" t="s">
        <v>53</v>
      </c>
      <c r="C72" s="5">
        <v>45748</v>
      </c>
      <c r="D72" s="3">
        <v>33710</v>
      </c>
    </row>
    <row r="73" spans="1:4" x14ac:dyDescent="0.45">
      <c r="A73" t="s">
        <v>52</v>
      </c>
      <c r="B73" t="s">
        <v>53</v>
      </c>
      <c r="C73" s="5">
        <v>45778</v>
      </c>
      <c r="D73" s="3">
        <v>41790</v>
      </c>
    </row>
    <row r="74" spans="1:4" x14ac:dyDescent="0.45">
      <c r="A74" t="s">
        <v>52</v>
      </c>
      <c r="B74" t="s">
        <v>53</v>
      </c>
      <c r="C74" s="5">
        <v>45809</v>
      </c>
      <c r="D74" s="3">
        <v>27470</v>
      </c>
    </row>
    <row r="75" spans="1:4" x14ac:dyDescent="0.45">
      <c r="A75" t="s">
        <v>52</v>
      </c>
      <c r="B75" t="s">
        <v>53</v>
      </c>
      <c r="C75" s="5">
        <v>45839</v>
      </c>
      <c r="D75" s="3">
        <v>46470</v>
      </c>
    </row>
    <row r="76" spans="1:4" x14ac:dyDescent="0.45">
      <c r="A76" t="s">
        <v>52</v>
      </c>
      <c r="B76" t="s">
        <v>53</v>
      </c>
      <c r="C76" s="5">
        <v>45870</v>
      </c>
      <c r="D76" s="3">
        <v>53280</v>
      </c>
    </row>
    <row r="77" spans="1:4" x14ac:dyDescent="0.45">
      <c r="A77" t="s">
        <v>52</v>
      </c>
      <c r="B77" t="s">
        <v>53</v>
      </c>
      <c r="C77" s="5">
        <v>45901</v>
      </c>
      <c r="D77" s="3">
        <v>19140</v>
      </c>
    </row>
    <row r="78" spans="1:4" x14ac:dyDescent="0.45">
      <c r="A78" t="s">
        <v>52</v>
      </c>
      <c r="B78" t="s">
        <v>53</v>
      </c>
      <c r="C78" s="5">
        <v>45931</v>
      </c>
      <c r="D78" s="3">
        <v>18480</v>
      </c>
    </row>
    <row r="79" spans="1:4" x14ac:dyDescent="0.45">
      <c r="A79" t="s">
        <v>52</v>
      </c>
      <c r="B79" t="s">
        <v>53</v>
      </c>
      <c r="C79" s="5">
        <v>45962</v>
      </c>
      <c r="D79" s="3">
        <v>35850</v>
      </c>
    </row>
    <row r="80" spans="1:4" x14ac:dyDescent="0.45">
      <c r="A80" t="s">
        <v>52</v>
      </c>
      <c r="B80" t="s">
        <v>53</v>
      </c>
      <c r="C80" s="5">
        <v>45992</v>
      </c>
      <c r="D80" s="3">
        <v>52690</v>
      </c>
    </row>
    <row r="81" spans="1:4" x14ac:dyDescent="0.45">
      <c r="A81" t="s">
        <v>52</v>
      </c>
      <c r="B81" t="s">
        <v>53</v>
      </c>
      <c r="C81" s="5">
        <v>46023</v>
      </c>
      <c r="D81" s="3">
        <v>36160</v>
      </c>
    </row>
    <row r="82" spans="1:4" x14ac:dyDescent="0.45">
      <c r="A82" t="s">
        <v>54</v>
      </c>
      <c r="B82" t="s">
        <v>55</v>
      </c>
      <c r="C82" s="5">
        <v>45689</v>
      </c>
      <c r="D82" s="3">
        <v>50010</v>
      </c>
    </row>
    <row r="83" spans="1:4" x14ac:dyDescent="0.45">
      <c r="A83" t="s">
        <v>54</v>
      </c>
      <c r="B83" t="s">
        <v>55</v>
      </c>
      <c r="C83" s="5">
        <v>45717</v>
      </c>
      <c r="D83" s="3">
        <v>63510</v>
      </c>
    </row>
    <row r="84" spans="1:4" x14ac:dyDescent="0.45">
      <c r="A84" t="s">
        <v>54</v>
      </c>
      <c r="B84" t="s">
        <v>55</v>
      </c>
      <c r="C84" s="5">
        <v>45748</v>
      </c>
      <c r="D84" s="3">
        <v>77680</v>
      </c>
    </row>
    <row r="85" spans="1:4" x14ac:dyDescent="0.45">
      <c r="A85" t="s">
        <v>54</v>
      </c>
      <c r="B85" t="s">
        <v>55</v>
      </c>
      <c r="C85" s="5">
        <v>45778</v>
      </c>
      <c r="D85" s="3">
        <v>77130</v>
      </c>
    </row>
    <row r="86" spans="1:4" x14ac:dyDescent="0.45">
      <c r="A86" t="s">
        <v>54</v>
      </c>
      <c r="B86" t="s">
        <v>55</v>
      </c>
      <c r="C86" s="5">
        <v>45809</v>
      </c>
      <c r="D86" s="3">
        <v>77560</v>
      </c>
    </row>
    <row r="87" spans="1:4" x14ac:dyDescent="0.45">
      <c r="A87" t="s">
        <v>56</v>
      </c>
      <c r="B87" t="s">
        <v>57</v>
      </c>
      <c r="C87" s="5">
        <v>45748</v>
      </c>
      <c r="D87" s="3">
        <v>9740</v>
      </c>
    </row>
    <row r="88" spans="1:4" x14ac:dyDescent="0.45">
      <c r="A88" t="s">
        <v>56</v>
      </c>
      <c r="B88" t="s">
        <v>57</v>
      </c>
      <c r="C88" s="5">
        <v>45778</v>
      </c>
      <c r="D88" s="3">
        <v>12930</v>
      </c>
    </row>
    <row r="89" spans="1:4" x14ac:dyDescent="0.45">
      <c r="A89" t="s">
        <v>56</v>
      </c>
      <c r="B89" t="s">
        <v>57</v>
      </c>
      <c r="C89" s="5">
        <v>45809</v>
      </c>
      <c r="D89" s="3">
        <v>13690</v>
      </c>
    </row>
    <row r="90" spans="1:4" x14ac:dyDescent="0.45">
      <c r="A90" t="s">
        <v>56</v>
      </c>
      <c r="B90" t="s">
        <v>57</v>
      </c>
      <c r="C90" s="5">
        <v>45839</v>
      </c>
      <c r="D90" s="3">
        <v>7520</v>
      </c>
    </row>
    <row r="91" spans="1:4" x14ac:dyDescent="0.45">
      <c r="A91" t="s">
        <v>56</v>
      </c>
      <c r="B91" t="s">
        <v>57</v>
      </c>
      <c r="C91" s="5">
        <v>45870</v>
      </c>
      <c r="D91" s="3">
        <v>6660</v>
      </c>
    </row>
    <row r="92" spans="1:4" x14ac:dyDescent="0.45">
      <c r="A92" t="s">
        <v>56</v>
      </c>
      <c r="B92" t="s">
        <v>57</v>
      </c>
      <c r="C92" s="5">
        <v>45901</v>
      </c>
      <c r="D92" s="3">
        <v>6790</v>
      </c>
    </row>
    <row r="93" spans="1:4" x14ac:dyDescent="0.45">
      <c r="A93" t="s">
        <v>56</v>
      </c>
      <c r="B93" t="s">
        <v>57</v>
      </c>
      <c r="C93" s="5">
        <v>45931</v>
      </c>
      <c r="D93" s="3">
        <v>6510</v>
      </c>
    </row>
    <row r="94" spans="1:4" x14ac:dyDescent="0.45">
      <c r="A94" t="s">
        <v>56</v>
      </c>
      <c r="B94" t="s">
        <v>57</v>
      </c>
      <c r="C94" s="5">
        <v>45962</v>
      </c>
      <c r="D94" s="3">
        <v>12870</v>
      </c>
    </row>
    <row r="95" spans="1:4" x14ac:dyDescent="0.45">
      <c r="A95" t="s">
        <v>56</v>
      </c>
      <c r="B95" t="s">
        <v>57</v>
      </c>
      <c r="C95" s="5">
        <v>45992</v>
      </c>
      <c r="D95" s="3">
        <v>11440</v>
      </c>
    </row>
    <row r="96" spans="1:4" x14ac:dyDescent="0.45">
      <c r="A96" t="s">
        <v>56</v>
      </c>
      <c r="B96" t="s">
        <v>57</v>
      </c>
      <c r="C96" s="5">
        <v>46023</v>
      </c>
      <c r="D96" s="3">
        <v>5960</v>
      </c>
    </row>
    <row r="97" spans="1:4" x14ac:dyDescent="0.45">
      <c r="A97" t="s">
        <v>56</v>
      </c>
      <c r="B97" t="s">
        <v>57</v>
      </c>
      <c r="C97" s="5">
        <v>46054</v>
      </c>
      <c r="D97" s="3">
        <v>13870</v>
      </c>
    </row>
    <row r="98" spans="1:4" x14ac:dyDescent="0.45">
      <c r="A98" t="s">
        <v>58</v>
      </c>
      <c r="B98" t="s">
        <v>59</v>
      </c>
      <c r="C98" s="5">
        <v>45778</v>
      </c>
      <c r="D98" s="3">
        <v>117840</v>
      </c>
    </row>
    <row r="99" spans="1:4" x14ac:dyDescent="0.45">
      <c r="A99" t="s">
        <v>58</v>
      </c>
      <c r="B99" t="s">
        <v>59</v>
      </c>
      <c r="C99" s="5">
        <v>45809</v>
      </c>
      <c r="D99" s="3">
        <v>106320</v>
      </c>
    </row>
    <row r="100" spans="1:4" x14ac:dyDescent="0.45">
      <c r="A100" t="s">
        <v>58</v>
      </c>
      <c r="B100" t="s">
        <v>59</v>
      </c>
      <c r="C100" s="5">
        <v>45839</v>
      </c>
      <c r="D100" s="3">
        <v>40890</v>
      </c>
    </row>
    <row r="101" spans="1:4" x14ac:dyDescent="0.45">
      <c r="A101" t="s">
        <v>58</v>
      </c>
      <c r="B101" t="s">
        <v>59</v>
      </c>
      <c r="C101" s="5">
        <v>45870</v>
      </c>
      <c r="D101" s="3">
        <v>89490</v>
      </c>
    </row>
    <row r="102" spans="1:4" x14ac:dyDescent="0.45">
      <c r="A102" t="s">
        <v>58</v>
      </c>
      <c r="B102" t="s">
        <v>59</v>
      </c>
      <c r="C102" s="5">
        <v>45901</v>
      </c>
      <c r="D102" s="3">
        <v>109720</v>
      </c>
    </row>
    <row r="103" spans="1:4" x14ac:dyDescent="0.45">
      <c r="A103" t="s">
        <v>58</v>
      </c>
      <c r="B103" t="s">
        <v>59</v>
      </c>
      <c r="C103" s="5">
        <v>45931</v>
      </c>
      <c r="D103" s="3">
        <v>74010</v>
      </c>
    </row>
    <row r="104" spans="1:4" x14ac:dyDescent="0.45">
      <c r="A104" t="s">
        <v>58</v>
      </c>
      <c r="B104" t="s">
        <v>59</v>
      </c>
      <c r="C104" s="5">
        <v>45962</v>
      </c>
      <c r="D104" s="3">
        <v>44160</v>
      </c>
    </row>
    <row r="105" spans="1:4" x14ac:dyDescent="0.45">
      <c r="A105" t="s">
        <v>58</v>
      </c>
      <c r="B105" t="s">
        <v>59</v>
      </c>
      <c r="C105" s="5">
        <v>45992</v>
      </c>
      <c r="D105" s="3">
        <v>92660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AY64"/>
  <sheetViews>
    <sheetView showGridLines="0" tabSelected="1" zoomScale="85" zoomScaleNormal="85" workbookViewId="0"/>
  </sheetViews>
  <sheetFormatPr defaultRowHeight="14.25" x14ac:dyDescent="0.45"/>
  <cols>
    <col min="1" max="1" width="2" customWidth="1"/>
    <col min="2" max="2" width="26.1328125" bestFit="1" customWidth="1"/>
    <col min="3" max="3" width="13.73046875" bestFit="1" customWidth="1"/>
    <col min="4" max="4" width="11.46484375" bestFit="1" customWidth="1"/>
    <col min="5" max="5" width="8" customWidth="1"/>
    <col min="6" max="6" width="20" customWidth="1"/>
    <col min="7" max="7" width="8" customWidth="1"/>
    <col min="8" max="8" width="20" customWidth="1"/>
    <col min="9" max="9" width="8" customWidth="1"/>
    <col min="10" max="10" width="20" customWidth="1"/>
    <col min="11" max="11" width="8" customWidth="1"/>
    <col min="14" max="14" width="26.1328125" bestFit="1" customWidth="1"/>
    <col min="15" max="15" width="14.9296875" bestFit="1" customWidth="1"/>
    <col min="26" max="26" width="12.06640625" bestFit="1" customWidth="1"/>
    <col min="27" max="27" width="12.59765625" bestFit="1" customWidth="1"/>
    <col min="38" max="38" width="12.06640625" bestFit="1" customWidth="1"/>
    <col min="39" max="39" width="11.73046875" bestFit="1" customWidth="1"/>
    <col min="50" max="50" width="12.06640625" bestFit="1" customWidth="1"/>
    <col min="51" max="51" width="11.46484375" bestFit="1" customWidth="1"/>
  </cols>
  <sheetData>
    <row r="2" spans="2:10" ht="21" x14ac:dyDescent="0.65">
      <c r="B2" s="6" t="s">
        <v>69</v>
      </c>
    </row>
    <row r="4" spans="2:10" x14ac:dyDescent="0.45">
      <c r="B4" s="7" t="s">
        <v>70</v>
      </c>
      <c r="D4" s="7" t="s">
        <v>71</v>
      </c>
      <c r="F4" s="7" t="s">
        <v>72</v>
      </c>
      <c r="H4" s="7" t="s">
        <v>73</v>
      </c>
      <c r="J4" s="7" t="s">
        <v>74</v>
      </c>
    </row>
    <row r="5" spans="2:10" ht="25.5" x14ac:dyDescent="0.45">
      <c r="B5" s="8">
        <f>SUM(Projects!G2:G15)</f>
        <v>7001000</v>
      </c>
      <c r="D5" s="8">
        <f>SUM(Projects!H2:H15)</f>
        <v>5644400</v>
      </c>
      <c r="F5" s="9">
        <f>SUM(Projects!H2:H15)/SUM(Projects!G2:G15)</f>
        <v>0.80622768175974857</v>
      </c>
      <c r="H5" s="10">
        <f>COUNTIF(Projects!K2:K15,"Red")</f>
        <v>2</v>
      </c>
      <c r="J5" s="9">
        <f>AVERAGE(Resources!F2:F93)</f>
        <v>0.90380887681159405</v>
      </c>
    </row>
    <row r="6" spans="2:10" ht="6" customHeight="1" x14ac:dyDescent="0.45">
      <c r="B6" s="11"/>
      <c r="D6" s="11"/>
      <c r="F6" s="11"/>
      <c r="H6" s="11"/>
      <c r="J6" s="11"/>
    </row>
    <row r="8" spans="2:10" x14ac:dyDescent="0.45">
      <c r="B8" s="12" t="s">
        <v>75</v>
      </c>
    </row>
    <row r="46" spans="2:51" x14ac:dyDescent="0.45">
      <c r="B46" s="17" t="s">
        <v>82</v>
      </c>
    </row>
    <row r="48" spans="2:51" x14ac:dyDescent="0.45">
      <c r="B48" s="13" t="s">
        <v>76</v>
      </c>
      <c r="C48" t="s">
        <v>78</v>
      </c>
      <c r="D48" t="s">
        <v>79</v>
      </c>
      <c r="N48" s="13" t="s">
        <v>76</v>
      </c>
      <c r="O48" t="s">
        <v>80</v>
      </c>
      <c r="Z48" s="13" t="s">
        <v>76</v>
      </c>
      <c r="AA48" t="s">
        <v>74</v>
      </c>
      <c r="AL48" s="13" t="s">
        <v>76</v>
      </c>
      <c r="AM48" t="s">
        <v>81</v>
      </c>
      <c r="AX48" s="13" t="s">
        <v>76</v>
      </c>
      <c r="AY48" t="s">
        <v>79</v>
      </c>
    </row>
    <row r="49" spans="2:51" x14ac:dyDescent="0.45">
      <c r="B49" s="14" t="s">
        <v>19</v>
      </c>
      <c r="C49" s="15">
        <v>508000</v>
      </c>
      <c r="D49" s="15">
        <v>304200</v>
      </c>
      <c r="N49" s="14" t="s">
        <v>19</v>
      </c>
      <c r="O49" s="15">
        <v>203800</v>
      </c>
      <c r="Z49" s="14" t="s">
        <v>21</v>
      </c>
      <c r="AA49" s="15">
        <v>0.77916666666666656</v>
      </c>
      <c r="AL49" s="14" t="s">
        <v>34</v>
      </c>
      <c r="AM49" s="15">
        <v>5</v>
      </c>
      <c r="AX49" s="16">
        <v>45658</v>
      </c>
      <c r="AY49" s="15">
        <v>243430</v>
      </c>
    </row>
    <row r="50" spans="2:51" x14ac:dyDescent="0.45">
      <c r="B50" s="14" t="s">
        <v>46</v>
      </c>
      <c r="C50" s="15">
        <v>862000</v>
      </c>
      <c r="D50" s="15">
        <v>810800</v>
      </c>
      <c r="N50" s="14" t="s">
        <v>46</v>
      </c>
      <c r="O50" s="15">
        <v>51200</v>
      </c>
      <c r="Z50" s="14" t="s">
        <v>30</v>
      </c>
      <c r="AA50" s="15">
        <v>0.9570238095238095</v>
      </c>
      <c r="AL50" s="14" t="s">
        <v>16</v>
      </c>
      <c r="AM50" s="15">
        <v>7</v>
      </c>
      <c r="AX50" s="16">
        <v>45689</v>
      </c>
      <c r="AY50" s="15">
        <v>307520</v>
      </c>
    </row>
    <row r="51" spans="2:51" x14ac:dyDescent="0.45">
      <c r="B51" s="14" t="s">
        <v>13</v>
      </c>
      <c r="C51" s="15">
        <v>154000</v>
      </c>
      <c r="D51" s="15">
        <v>173200</v>
      </c>
      <c r="N51" s="14" t="s">
        <v>13</v>
      </c>
      <c r="O51" s="15">
        <v>-19200</v>
      </c>
      <c r="Z51" s="14" t="s">
        <v>26</v>
      </c>
      <c r="AA51" s="15">
        <v>0.98390624999999998</v>
      </c>
      <c r="AL51" s="14" t="s">
        <v>51</v>
      </c>
      <c r="AM51" s="15">
        <v>2</v>
      </c>
      <c r="AX51" s="16">
        <v>45717</v>
      </c>
      <c r="AY51" s="15">
        <v>326120</v>
      </c>
    </row>
    <row r="52" spans="2:51" x14ac:dyDescent="0.45">
      <c r="B52" s="14" t="s">
        <v>28</v>
      </c>
      <c r="C52" s="15">
        <v>633000</v>
      </c>
      <c r="D52" s="15">
        <v>400300</v>
      </c>
      <c r="N52" s="14" t="s">
        <v>28</v>
      </c>
      <c r="O52" s="15">
        <v>232700</v>
      </c>
      <c r="Z52" s="14" t="s">
        <v>50</v>
      </c>
      <c r="AA52" s="15">
        <v>0.83404761904761915</v>
      </c>
      <c r="AL52" s="14" t="s">
        <v>77</v>
      </c>
      <c r="AM52" s="15">
        <v>14</v>
      </c>
      <c r="AX52" s="16">
        <v>45748</v>
      </c>
      <c r="AY52" s="15">
        <v>730600</v>
      </c>
    </row>
    <row r="53" spans="2:51" x14ac:dyDescent="0.45">
      <c r="B53" s="14" t="s">
        <v>24</v>
      </c>
      <c r="C53" s="15">
        <v>670000</v>
      </c>
      <c r="D53" s="15">
        <v>643100</v>
      </c>
      <c r="N53" s="14" t="s">
        <v>24</v>
      </c>
      <c r="O53" s="15">
        <v>26900</v>
      </c>
      <c r="Z53" s="14" t="s">
        <v>37</v>
      </c>
      <c r="AA53" s="15">
        <v>0.84354166666666663</v>
      </c>
      <c r="AX53" s="16">
        <v>45778</v>
      </c>
      <c r="AY53" s="15">
        <v>1027100</v>
      </c>
    </row>
    <row r="54" spans="2:51" x14ac:dyDescent="0.45">
      <c r="B54" s="14" t="s">
        <v>55</v>
      </c>
      <c r="C54" s="15">
        <v>585000</v>
      </c>
      <c r="D54" s="15">
        <v>345900</v>
      </c>
      <c r="N54" s="14" t="s">
        <v>55</v>
      </c>
      <c r="O54" s="15">
        <v>239100</v>
      </c>
      <c r="Z54" s="14" t="s">
        <v>66</v>
      </c>
      <c r="AA54" s="15">
        <v>0.78095238095238095</v>
      </c>
      <c r="AX54" s="16">
        <v>45809</v>
      </c>
      <c r="AY54" s="15">
        <v>648600</v>
      </c>
    </row>
    <row r="55" spans="2:51" x14ac:dyDescent="0.45">
      <c r="B55" s="14" t="s">
        <v>36</v>
      </c>
      <c r="C55" s="15">
        <v>875000</v>
      </c>
      <c r="D55" s="15">
        <v>673700</v>
      </c>
      <c r="N55" s="14" t="s">
        <v>36</v>
      </c>
      <c r="O55" s="15">
        <v>201300</v>
      </c>
      <c r="Z55" s="14" t="s">
        <v>47</v>
      </c>
      <c r="AA55" s="15">
        <v>1.0261904761904763</v>
      </c>
      <c r="AX55" s="16">
        <v>45839</v>
      </c>
      <c r="AY55" s="15">
        <v>499230</v>
      </c>
    </row>
    <row r="56" spans="2:51" x14ac:dyDescent="0.45">
      <c r="B56" s="14" t="s">
        <v>49</v>
      </c>
      <c r="C56" s="15">
        <v>150000</v>
      </c>
      <c r="D56" s="15">
        <v>170700</v>
      </c>
      <c r="N56" s="14" t="s">
        <v>49</v>
      </c>
      <c r="O56" s="15">
        <v>-20700</v>
      </c>
      <c r="Z56" s="14" t="s">
        <v>33</v>
      </c>
      <c r="AA56" s="15">
        <v>0.95818627450980387</v>
      </c>
      <c r="AX56" s="16">
        <v>45870</v>
      </c>
      <c r="AY56" s="15">
        <v>569590</v>
      </c>
    </row>
    <row r="57" spans="2:51" x14ac:dyDescent="0.45">
      <c r="B57" s="14" t="s">
        <v>43</v>
      </c>
      <c r="C57" s="15">
        <v>604000</v>
      </c>
      <c r="D57" s="15">
        <v>509000</v>
      </c>
      <c r="N57" s="14" t="s">
        <v>43</v>
      </c>
      <c r="O57" s="15">
        <v>95000</v>
      </c>
      <c r="Z57" s="14" t="s">
        <v>15</v>
      </c>
      <c r="AA57" s="15">
        <v>0.91583333333333328</v>
      </c>
      <c r="AX57" s="16">
        <v>45901</v>
      </c>
      <c r="AY57" s="15">
        <v>390370</v>
      </c>
    </row>
    <row r="58" spans="2:51" x14ac:dyDescent="0.45">
      <c r="B58" s="14" t="s">
        <v>57</v>
      </c>
      <c r="C58" s="15">
        <v>162000</v>
      </c>
      <c r="D58" s="15">
        <v>108000</v>
      </c>
      <c r="N58" s="14" t="s">
        <v>57</v>
      </c>
      <c r="O58" s="15">
        <v>54000</v>
      </c>
      <c r="Z58" s="14" t="s">
        <v>67</v>
      </c>
      <c r="AA58" s="15">
        <v>0.88403645833333333</v>
      </c>
      <c r="AX58" s="16">
        <v>45931</v>
      </c>
      <c r="AY58" s="15">
        <v>238350</v>
      </c>
    </row>
    <row r="59" spans="2:51" x14ac:dyDescent="0.45">
      <c r="B59" s="14" t="s">
        <v>59</v>
      </c>
      <c r="C59" s="15">
        <v>803000</v>
      </c>
      <c r="D59" s="15">
        <v>675100</v>
      </c>
      <c r="N59" s="14" t="s">
        <v>59</v>
      </c>
      <c r="O59" s="15">
        <v>127900</v>
      </c>
      <c r="Z59" s="14" t="s">
        <v>77</v>
      </c>
      <c r="AA59" s="15">
        <v>0.90380887681159428</v>
      </c>
      <c r="AX59" s="16">
        <v>45962</v>
      </c>
      <c r="AY59" s="15">
        <v>219190</v>
      </c>
    </row>
    <row r="60" spans="2:51" x14ac:dyDescent="0.45">
      <c r="B60" s="14" t="s">
        <v>39</v>
      </c>
      <c r="C60" s="15">
        <v>163000</v>
      </c>
      <c r="D60" s="15">
        <v>155200</v>
      </c>
      <c r="N60" s="14" t="s">
        <v>39</v>
      </c>
      <c r="O60" s="15">
        <v>7800</v>
      </c>
      <c r="AX60" s="16">
        <v>45992</v>
      </c>
      <c r="AY60" s="15">
        <v>218950</v>
      </c>
    </row>
    <row r="61" spans="2:51" x14ac:dyDescent="0.45">
      <c r="B61" s="14" t="s">
        <v>32</v>
      </c>
      <c r="C61" s="15">
        <v>461000</v>
      </c>
      <c r="D61" s="15">
        <v>285000</v>
      </c>
      <c r="N61" s="14" t="s">
        <v>32</v>
      </c>
      <c r="O61" s="15">
        <v>176000</v>
      </c>
      <c r="AX61" s="16">
        <v>46023</v>
      </c>
      <c r="AY61" s="15">
        <v>122360</v>
      </c>
    </row>
    <row r="62" spans="2:51" x14ac:dyDescent="0.45">
      <c r="B62" s="14" t="s">
        <v>53</v>
      </c>
      <c r="C62" s="15">
        <v>371000</v>
      </c>
      <c r="D62" s="15">
        <v>390200</v>
      </c>
      <c r="N62" s="14" t="s">
        <v>53</v>
      </c>
      <c r="O62" s="15">
        <v>-19200</v>
      </c>
      <c r="AX62" s="16">
        <v>46054</v>
      </c>
      <c r="AY62" s="15">
        <v>88600</v>
      </c>
    </row>
    <row r="63" spans="2:51" x14ac:dyDescent="0.45">
      <c r="B63" s="14" t="s">
        <v>77</v>
      </c>
      <c r="C63" s="15">
        <v>7001000</v>
      </c>
      <c r="D63" s="15">
        <v>5644400</v>
      </c>
      <c r="N63" s="14" t="s">
        <v>77</v>
      </c>
      <c r="O63" s="15">
        <v>1356600</v>
      </c>
      <c r="AX63" s="16">
        <v>46082</v>
      </c>
      <c r="AY63" s="15">
        <v>14390</v>
      </c>
    </row>
    <row r="64" spans="2:51" x14ac:dyDescent="0.45">
      <c r="AX64" s="16" t="s">
        <v>77</v>
      </c>
      <c r="AY64" s="15">
        <v>5644400</v>
      </c>
    </row>
  </sheetData>
  <pageMargins left="0.75" right="0.75" top="1" bottom="1" header="0.5" footer="0.5"/>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Projects</vt:lpstr>
      <vt:lpstr>Resources</vt:lpstr>
      <vt:lpstr>MonthlySpend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Varshini Gayathri Suresh</cp:lastModifiedBy>
  <dcterms:created xsi:type="dcterms:W3CDTF">2026-09-09T23:41:41Z</dcterms:created>
  <dcterms:modified xsi:type="dcterms:W3CDTF">2026-09-09T23:41:45Z</dcterms:modified>
</cp:coreProperties>
</file>