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Dashboard" sheetId="1" state="visible" r:id="rId1"/>
    <sheet xmlns:r="http://schemas.openxmlformats.org/officeDocument/2006/relationships" name="Backlog" sheetId="2" state="visible" r:id="rId2"/>
    <sheet xmlns:r="http://schemas.openxmlformats.org/officeDocument/2006/relationships" name="Burndown Data" sheetId="3" state="visible" r:id="rId3"/>
    <sheet xmlns:r="http://schemas.openxmlformats.org/officeDocument/2006/relationships" name="Velocity Tracker" sheetId="4" state="visible" r:id="rId4"/>
    <sheet xmlns:r="http://schemas.openxmlformats.org/officeDocument/2006/relationships" name="Retrospective Log" sheetId="5" state="visible" r:id="rId5"/>
    <sheet xmlns:r="http://schemas.openxmlformats.org/officeDocument/2006/relationships" name="VBA Macros (Instructions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-MMM-YY"/>
    <numFmt numFmtId="165" formatCode="0.0%"/>
    <numFmt numFmtId="166" formatCode="0.0"/>
  </numFmts>
  <fonts count="26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595959"/>
      <sz val="8"/>
    </font>
    <font>
      <name val="Arial"/>
      <b val="1"/>
      <color rgb="00FFFFFF"/>
      <sz val="16"/>
    </font>
    <font>
      <name val="Arial"/>
      <color rgb="00FFFFFF"/>
      <sz val="8"/>
    </font>
    <font>
      <name val="Arial"/>
      <b val="1"/>
      <color rgb="00FFFFFF"/>
      <sz val="9"/>
    </font>
    <font>
      <name val="Arial"/>
      <sz val="9"/>
    </font>
    <font>
      <name val="Arial"/>
      <b val="1"/>
      <color rgb="0070AD47"/>
      <sz val="9"/>
    </font>
    <font>
      <name val="Arial"/>
      <b val="1"/>
      <color rgb="00000000"/>
      <sz val="9"/>
    </font>
    <font>
      <name val="Arial"/>
      <b val="1"/>
      <color rgb="00ED7D31"/>
      <sz val="9"/>
    </font>
    <font>
      <name val="Arial"/>
      <b val="1"/>
      <color rgb="00FF4444"/>
      <sz val="9"/>
    </font>
    <font>
      <name val="Arial"/>
      <b val="1"/>
      <color rgb="00595959"/>
      <sz val="9"/>
    </font>
    <font>
      <name val="Arial"/>
      <b val="1"/>
      <color rgb="00FFFFFF"/>
      <sz val="13"/>
    </font>
    <font>
      <name val="Arial"/>
      <sz val="8"/>
    </font>
    <font>
      <name val="Arial"/>
      <b val="1"/>
      <color rgb="0070AD47"/>
      <sz val="8"/>
    </font>
    <font>
      <name val="Arial"/>
      <b val="1"/>
      <sz val="8"/>
    </font>
    <font>
      <name val="Arial"/>
      <b val="1"/>
      <color rgb="00ED7D31"/>
      <sz val="8"/>
    </font>
    <font>
      <name val="Arial"/>
      <b val="1"/>
      <color rgb="00FF4444"/>
      <sz val="8"/>
    </font>
    <font>
      <name val="Arial"/>
      <b val="1"/>
      <color rgb="00595959"/>
      <sz val="8"/>
    </font>
    <font>
      <name val="Arial"/>
      <b val="1"/>
      <color rgb="00FFFFFF"/>
      <sz val="12"/>
    </font>
    <font>
      <name val="Arial"/>
      <color rgb="00000000"/>
      <sz val="9"/>
    </font>
    <font>
      <name val="Arial"/>
      <b val="1"/>
      <color rgb="00FFFFFF"/>
      <sz val="8"/>
    </font>
    <font>
      <name val="Arial"/>
      <color rgb="00000000"/>
      <sz val="8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Courier New"/>
      <color rgb="00000000"/>
      <sz val="8.5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FF4444"/>
      </patternFill>
    </fill>
    <fill>
      <patternFill patternType="solid">
        <fgColor rgb="007030A0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FFE0E0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F8F8F8"/>
      </patternFill>
    </fill>
  </fills>
  <borders count="3">
    <border>
      <left/>
      <right/>
      <top/>
      <bottom/>
      <diagonal/>
    </border>
    <border>
      <left style="medium">
        <color rgb="00CCCCCC"/>
      </left>
      <right style="medium">
        <color rgb="00CCCCCC"/>
      </right>
      <top style="medium">
        <color rgb="00CCCCCC"/>
      </top>
      <bottom style="medium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left" vertical="center"/>
    </xf>
    <xf numFmtId="0" fontId="7" fillId="9" borderId="2" applyAlignment="1" pivotButton="0" quotePrefix="0" xfId="0">
      <alignment horizontal="center" vertical="center"/>
    </xf>
    <xf numFmtId="0" fontId="8" fillId="10" borderId="2" applyAlignment="1" pivotButton="0" quotePrefix="0" xfId="0">
      <alignment horizontal="center" vertical="center"/>
    </xf>
    <xf numFmtId="164" fontId="6" fillId="8" borderId="2" applyAlignment="1" pivotButton="0" quotePrefix="0" xfId="0">
      <alignment horizontal="center" vertical="center"/>
    </xf>
    <xf numFmtId="9" fontId="6" fillId="8" borderId="2" applyAlignment="1" pivotButton="0" quotePrefix="0" xfId="0">
      <alignment horizontal="center" vertical="center"/>
    </xf>
    <xf numFmtId="0" fontId="6" fillId="11" borderId="2" applyAlignment="1" pivotButton="0" quotePrefix="0" xfId="0">
      <alignment horizontal="center" vertical="center"/>
    </xf>
    <xf numFmtId="0" fontId="6" fillId="11" borderId="2" applyAlignment="1" pivotButton="0" quotePrefix="0" xfId="0">
      <alignment horizontal="left" vertical="center" wrapText="1"/>
    </xf>
    <xf numFmtId="0" fontId="6" fillId="11" borderId="2" applyAlignment="1" pivotButton="0" quotePrefix="0" xfId="0">
      <alignment horizontal="left" vertical="center"/>
    </xf>
    <xf numFmtId="0" fontId="8" fillId="12" borderId="2" applyAlignment="1" pivotButton="0" quotePrefix="0" xfId="0">
      <alignment horizontal="center" vertical="center"/>
    </xf>
    <xf numFmtId="164" fontId="6" fillId="11" borderId="2" applyAlignment="1" pivotButton="0" quotePrefix="0" xfId="0">
      <alignment horizontal="center" vertical="center"/>
    </xf>
    <xf numFmtId="9" fontId="6" fillId="11" borderId="2" applyAlignment="1" pivotButton="0" quotePrefix="0" xfId="0">
      <alignment horizontal="center" vertical="center"/>
    </xf>
    <xf numFmtId="0" fontId="8" fillId="13" borderId="2" applyAlignment="1" pivotButton="0" quotePrefix="0" xfId="0">
      <alignment horizontal="center" vertical="center"/>
    </xf>
    <xf numFmtId="0" fontId="9" fillId="13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center" vertical="center"/>
    </xf>
    <xf numFmtId="0" fontId="10" fillId="12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8" borderId="2" applyAlignment="1" pivotButton="0" quotePrefix="0" xfId="0">
      <alignment horizontal="center" vertical="center"/>
    </xf>
    <xf numFmtId="0" fontId="13" fillId="8" borderId="2" applyAlignment="1" pivotButton="0" quotePrefix="0" xfId="0">
      <alignment horizontal="left" vertical="center" wrapText="1"/>
    </xf>
    <xf numFmtId="0" fontId="13" fillId="8" borderId="2" applyAlignment="1" pivotButton="0" quotePrefix="0" xfId="0">
      <alignment horizontal="left" vertical="center"/>
    </xf>
    <xf numFmtId="0" fontId="14" fillId="9" borderId="2" applyAlignment="1" pivotButton="0" quotePrefix="0" xfId="0">
      <alignment horizontal="center" vertical="center"/>
    </xf>
    <xf numFmtId="0" fontId="15" fillId="10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center" vertical="center"/>
    </xf>
    <xf numFmtId="0" fontId="13" fillId="11" borderId="2" applyAlignment="1" pivotButton="0" quotePrefix="0" xfId="0">
      <alignment horizontal="center" vertical="center"/>
    </xf>
    <xf numFmtId="0" fontId="13" fillId="11" borderId="2" applyAlignment="1" pivotButton="0" quotePrefix="0" xfId="0">
      <alignment horizontal="left" vertical="center" wrapText="1"/>
    </xf>
    <xf numFmtId="0" fontId="13" fillId="11" borderId="2" applyAlignment="1" pivotButton="0" quotePrefix="0" xfId="0">
      <alignment horizontal="left" vertical="center"/>
    </xf>
    <xf numFmtId="0" fontId="15" fillId="13" borderId="2" applyAlignment="1" pivotButton="0" quotePrefix="0" xfId="0">
      <alignment horizontal="center" vertical="center"/>
    </xf>
    <xf numFmtId="0" fontId="16" fillId="13" borderId="2" applyAlignment="1" pivotButton="0" quotePrefix="0" xfId="0">
      <alignment horizontal="center" vertical="center"/>
    </xf>
    <xf numFmtId="0" fontId="15" fillId="9" borderId="2" applyAlignment="1" pivotButton="0" quotePrefix="0" xfId="0">
      <alignment horizontal="center" vertical="center"/>
    </xf>
    <xf numFmtId="0" fontId="17" fillId="12" borderId="2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0" fontId="18" fillId="11" borderId="2" applyAlignment="1" pivotButton="0" quotePrefix="0" xfId="0">
      <alignment horizontal="center" vertical="center"/>
    </xf>
    <xf numFmtId="0" fontId="19" fillId="2" borderId="0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6" fillId="11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20" fillId="8" borderId="2" applyAlignment="1" pivotButton="0" quotePrefix="0" xfId="0">
      <alignment horizontal="center" vertical="center"/>
    </xf>
    <xf numFmtId="165" fontId="20" fillId="8" borderId="2" applyAlignment="1" pivotButton="0" quotePrefix="0" xfId="0">
      <alignment horizontal="center" vertical="center"/>
    </xf>
    <xf numFmtId="0" fontId="20" fillId="11" borderId="2" applyAlignment="1" pivotButton="0" quotePrefix="0" xfId="0">
      <alignment horizontal="center" vertical="center"/>
    </xf>
    <xf numFmtId="165" fontId="20" fillId="11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166" fontId="5" fillId="2" borderId="2" applyAlignment="1" pivotButton="0" quotePrefix="0" xfId="0">
      <alignment horizontal="center" vertical="center"/>
    </xf>
    <xf numFmtId="165" fontId="5" fillId="2" borderId="2" applyAlignment="1" pivotButton="0" quotePrefix="0" xfId="0">
      <alignment horizontal="center" vertical="center"/>
    </xf>
    <xf numFmtId="2" fontId="5" fillId="2" borderId="2" applyAlignment="1" pivotButton="0" quotePrefix="0" xfId="0">
      <alignment horizontal="center" vertical="center"/>
    </xf>
    <xf numFmtId="0" fontId="21" fillId="3" borderId="2" applyAlignment="1" pivotButton="0" quotePrefix="0" xfId="0">
      <alignment horizontal="center" vertical="top" wrapText="1"/>
    </xf>
    <xf numFmtId="0" fontId="22" fillId="9" borderId="2" applyAlignment="1" pivotButton="0" quotePrefix="0" xfId="0">
      <alignment horizontal="left" vertical="top" wrapText="1"/>
    </xf>
    <xf numFmtId="0" fontId="22" fillId="9" borderId="2" applyAlignment="1" pivotButton="0" quotePrefix="0" xfId="0">
      <alignment horizontal="center" vertical="top" wrapText="1"/>
    </xf>
    <xf numFmtId="0" fontId="22" fillId="13" borderId="2" applyAlignment="1" pivotButton="0" quotePrefix="0" xfId="0">
      <alignment horizontal="left" vertical="top" wrapText="1"/>
    </xf>
    <xf numFmtId="0" fontId="22" fillId="13" borderId="2" applyAlignment="1" pivotButton="0" quotePrefix="0" xfId="0">
      <alignment horizontal="center" vertical="top" wrapText="1"/>
    </xf>
    <xf numFmtId="0" fontId="22" fillId="14" borderId="2" applyAlignment="1" pivotButton="0" quotePrefix="0" xfId="0">
      <alignment horizontal="left" vertical="top" wrapText="1"/>
    </xf>
    <xf numFmtId="0" fontId="22" fillId="14" borderId="2" applyAlignment="1" pivotButton="0" quotePrefix="0" xfId="0">
      <alignment horizontal="center" vertical="top" wrapText="1"/>
    </xf>
    <xf numFmtId="0" fontId="22" fillId="10" borderId="2" applyAlignment="1" pivotButton="0" quotePrefix="0" xfId="0">
      <alignment horizontal="left" vertical="top" wrapText="1"/>
    </xf>
    <xf numFmtId="0" fontId="22" fillId="10" borderId="2" applyAlignment="1" pivotButton="0" quotePrefix="0" xfId="0">
      <alignment horizontal="center" vertical="top" wrapText="1"/>
    </xf>
    <xf numFmtId="0" fontId="23" fillId="2" borderId="0" applyAlignment="1" pivotButton="0" quotePrefix="0" xfId="0">
      <alignment horizontal="center" vertical="center"/>
    </xf>
    <xf numFmtId="0" fontId="24" fillId="3" borderId="1" applyAlignment="1" pivotButton="0" quotePrefix="0" xfId="0">
      <alignment horizontal="left" vertical="center"/>
    </xf>
    <xf numFmtId="0" fontId="25" fillId="15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4" customWidth="1" min="3" max="3"/>
    <col width="10" customWidth="1" min="4" max="4"/>
    <col width="12" customWidth="1" min="5" max="5"/>
    <col width="12" customWidth="1" min="6" max="6"/>
    <col width="14" customWidth="1" min="7" max="7"/>
    <col width="14" customWidth="1" min="8" max="8"/>
    <col width="12" customWidth="1" min="9" max="9"/>
    <col width="16" customWidth="1" min="10" max="10"/>
    <col width="16" customWidth="1" min="11" max="11"/>
    <col width="14" customWidth="1" min="12" max="12"/>
    <col width="14" customWidth="1" min="13" max="13"/>
    <col width="12" customWidth="1" min="14" max="14"/>
    <col width="14" customWidth="1" min="15" max="15"/>
    <col width="10" customWidth="1" min="16" max="16"/>
  </cols>
  <sheetData>
    <row r="1" ht="38" customHeight="1">
      <c r="A1" s="1" t="inlineStr">
        <is>
          <t>AGILE SPRINT TRACKER — CRM MODERNISATION PROJECT</t>
        </is>
      </c>
    </row>
    <row r="2" ht="14" customHeight="1">
      <c r="A2" s="2" t="inlineStr">
        <is>
          <t>Product Owner: Varshini Gayathri Suresh  |  Team Size: 6  |  Sprint Duration: 2 weeks  |  Updated: June 2026</t>
        </is>
      </c>
    </row>
    <row r="3" ht="48" customHeight="1">
      <c r="A3" s="3" t="inlineStr">
        <is>
          <t>Sprint 4</t>
        </is>
      </c>
      <c r="C3" s="4" t="inlineStr">
        <is>
          <t>87%</t>
        </is>
      </c>
      <c r="E3" s="5">
        <f>COUNTIF(Backlog!E2:E51,"Done")</f>
        <v/>
      </c>
      <c r="G3" s="6">
        <f>COUNTIF(Backlog!E2:E51,"In Progress")</f>
        <v/>
      </c>
      <c r="I3" s="7">
        <f>COUNTIF(Backlog!E2:E51,"Blocked")</f>
        <v/>
      </c>
      <c r="K3" s="8" t="inlineStr">
        <is>
          <t>42 pts</t>
        </is>
      </c>
      <c r="M3" s="3" t="inlineStr">
        <is>
          <t>6</t>
        </is>
      </c>
      <c r="O3" s="4" t="inlineStr">
        <is>
          <t>4.2 / 5</t>
        </is>
      </c>
    </row>
    <row r="4" ht="14" customHeight="1">
      <c r="A4" s="9" t="inlineStr">
        <is>
          <t>Current Sprint</t>
        </is>
      </c>
      <c r="C4" s="10" t="inlineStr">
        <is>
          <t>Sprint Goal</t>
        </is>
      </c>
      <c r="E4" s="11" t="inlineStr">
        <is>
          <t>Stories Done</t>
        </is>
      </c>
      <c r="G4" s="12" t="inlineStr">
        <is>
          <t>In Progress</t>
        </is>
      </c>
      <c r="I4" s="13" t="inlineStr">
        <is>
          <t>Blocked</t>
        </is>
      </c>
      <c r="K4" s="14" t="inlineStr">
        <is>
          <t>Velocity</t>
        </is>
      </c>
      <c r="M4" s="9" t="inlineStr">
        <is>
          <t>Days Remaining</t>
        </is>
      </c>
      <c r="O4" s="10" t="inlineStr">
        <is>
          <t>Team Happiness</t>
        </is>
      </c>
    </row>
    <row r="6" ht="30" customHeight="1">
      <c r="A6" s="15" t="inlineStr">
        <is>
          <t>ID</t>
        </is>
      </c>
      <c r="B6" s="15" t="inlineStr">
        <is>
          <t>User Story</t>
        </is>
      </c>
      <c r="C6" s="15" t="inlineStr">
        <is>
          <t>Assignee</t>
        </is>
      </c>
      <c r="D6" s="15" t="inlineStr">
        <is>
          <t>Points</t>
        </is>
      </c>
      <c r="E6" s="15" t="inlineStr">
        <is>
          <t>Status</t>
        </is>
      </c>
      <c r="F6" s="15" t="inlineStr">
        <is>
          <t>Priority</t>
        </is>
      </c>
      <c r="G6" s="15" t="inlineStr">
        <is>
          <t>Sprint</t>
        </is>
      </c>
      <c r="H6" s="15" t="inlineStr">
        <is>
          <t>Start Date</t>
        </is>
      </c>
      <c r="I6" s="15" t="inlineStr">
        <is>
          <t>End Date</t>
        </is>
      </c>
      <c r="J6" s="15" t="inlineStr">
        <is>
          <t>% Complete</t>
        </is>
      </c>
      <c r="K6" s="15" t="inlineStr">
        <is>
          <t>Blocked By</t>
        </is>
      </c>
      <c r="L6" s="15" t="inlineStr">
        <is>
          <t>Test Status</t>
        </is>
      </c>
      <c r="M6" s="15" t="inlineStr">
        <is>
          <t>Acceptance Criteria Met</t>
        </is>
      </c>
      <c r="N6" s="15" t="inlineStr">
        <is>
          <t>Comments</t>
        </is>
      </c>
      <c r="O6" s="15" t="inlineStr">
        <is>
          <t>Label</t>
        </is>
      </c>
      <c r="P6" s="15" t="inlineStr">
        <is>
          <t>Epic</t>
        </is>
      </c>
    </row>
    <row r="7" ht="18" customHeight="1">
      <c r="A7" s="16" t="inlineStr">
        <is>
          <t>US-031</t>
        </is>
      </c>
      <c r="B7" s="17" t="inlineStr">
        <is>
          <t>As a user I can reset my password via email link</t>
        </is>
      </c>
      <c r="C7" s="18" t="inlineStr">
        <is>
          <t>V. Suresh</t>
        </is>
      </c>
      <c r="D7" s="16" t="n">
        <v>5</v>
      </c>
      <c r="E7" s="19" t="inlineStr">
        <is>
          <t>Done</t>
        </is>
      </c>
      <c r="F7" s="20" t="inlineStr">
        <is>
          <t>High</t>
        </is>
      </c>
      <c r="G7" s="18" t="inlineStr">
        <is>
          <t>Sprint 4</t>
        </is>
      </c>
      <c r="H7" s="21" t="inlineStr">
        <is>
          <t>2026-05-19</t>
        </is>
      </c>
      <c r="I7" s="21" t="inlineStr">
        <is>
          <t>2026-05-22</t>
        </is>
      </c>
      <c r="J7" s="22" t="n">
        <v>1</v>
      </c>
      <c r="K7" s="18" t="inlineStr">
        <is>
          <t>—</t>
        </is>
      </c>
      <c r="L7" s="18" t="inlineStr">
        <is>
          <t>Passed</t>
        </is>
      </c>
      <c r="M7" s="18" t="inlineStr">
        <is>
          <t>Yes</t>
        </is>
      </c>
      <c r="N7" s="18" t="inlineStr">
        <is>
          <t>Deployed to UAT</t>
        </is>
      </c>
      <c r="O7" s="18" t="inlineStr">
        <is>
          <t>Auth</t>
        </is>
      </c>
      <c r="P7" s="18" t="inlineStr">
        <is>
          <t>User Management</t>
        </is>
      </c>
    </row>
    <row r="8" ht="18" customHeight="1">
      <c r="A8" s="23" t="inlineStr">
        <is>
          <t>US-032</t>
        </is>
      </c>
      <c r="B8" s="24" t="inlineStr">
        <is>
          <t>Dashboard loads within 2 seconds on 4G</t>
        </is>
      </c>
      <c r="C8" s="25" t="inlineStr">
        <is>
          <t>T. Bauer</t>
        </is>
      </c>
      <c r="D8" s="23" t="n">
        <v>8</v>
      </c>
      <c r="E8" s="19" t="inlineStr">
        <is>
          <t>Done</t>
        </is>
      </c>
      <c r="F8" s="26" t="inlineStr">
        <is>
          <t>Critical</t>
        </is>
      </c>
      <c r="G8" s="25" t="inlineStr">
        <is>
          <t>Sprint 4</t>
        </is>
      </c>
      <c r="H8" s="27" t="inlineStr">
        <is>
          <t>2026-05-19</t>
        </is>
      </c>
      <c r="I8" s="27" t="inlineStr">
        <is>
          <t>2026-05-23</t>
        </is>
      </c>
      <c r="J8" s="28" t="n">
        <v>1</v>
      </c>
      <c r="K8" s="25" t="inlineStr">
        <is>
          <t>—</t>
        </is>
      </c>
      <c r="L8" s="25" t="inlineStr">
        <is>
          <t>Passed</t>
        </is>
      </c>
      <c r="M8" s="25" t="inlineStr">
        <is>
          <t>Yes</t>
        </is>
      </c>
      <c r="N8" s="25" t="inlineStr">
        <is>
          <t>Performance test passed</t>
        </is>
      </c>
      <c r="O8" s="25" t="inlineStr">
        <is>
          <t>Perf</t>
        </is>
      </c>
      <c r="P8" s="25" t="inlineStr">
        <is>
          <t>Dashboard</t>
        </is>
      </c>
    </row>
    <row r="9" ht="18" customHeight="1">
      <c r="A9" s="16" t="inlineStr">
        <is>
          <t>US-033</t>
        </is>
      </c>
      <c r="B9" s="17" t="inlineStr">
        <is>
          <t>Export report as PDF with company branding</t>
        </is>
      </c>
      <c r="C9" s="18" t="inlineStr">
        <is>
          <t>A. Müller</t>
        </is>
      </c>
      <c r="D9" s="16" t="n">
        <v>5</v>
      </c>
      <c r="E9" s="19" t="inlineStr">
        <is>
          <t>Done</t>
        </is>
      </c>
      <c r="F9" s="29" t="inlineStr">
        <is>
          <t>Medium</t>
        </is>
      </c>
      <c r="G9" s="18" t="inlineStr">
        <is>
          <t>Sprint 4</t>
        </is>
      </c>
      <c r="H9" s="21" t="inlineStr">
        <is>
          <t>2026-05-20</t>
        </is>
      </c>
      <c r="I9" s="21" t="inlineStr">
        <is>
          <t>2026-05-24</t>
        </is>
      </c>
      <c r="J9" s="22" t="n">
        <v>1</v>
      </c>
      <c r="K9" s="18" t="inlineStr">
        <is>
          <t>—</t>
        </is>
      </c>
      <c r="L9" s="18" t="inlineStr">
        <is>
          <t>Passed</t>
        </is>
      </c>
      <c r="M9" s="18" t="inlineStr">
        <is>
          <t>Yes</t>
        </is>
      </c>
      <c r="N9" s="18" t="inlineStr">
        <is>
          <t>Branding assets confirmed</t>
        </is>
      </c>
      <c r="O9" s="18" t="inlineStr">
        <is>
          <t>Export</t>
        </is>
      </c>
      <c r="P9" s="18" t="inlineStr">
        <is>
          <t>Reports</t>
        </is>
      </c>
    </row>
    <row r="10" ht="18" customHeight="1">
      <c r="A10" s="23" t="inlineStr">
        <is>
          <t>US-034</t>
        </is>
      </c>
      <c r="B10" s="24" t="inlineStr">
        <is>
          <t>Role-based access control for Manager view</t>
        </is>
      </c>
      <c r="C10" s="25" t="inlineStr">
        <is>
          <t>V. Suresh</t>
        </is>
      </c>
      <c r="D10" s="23" t="n">
        <v>8</v>
      </c>
      <c r="E10" s="30" t="inlineStr">
        <is>
          <t>In Progress</t>
        </is>
      </c>
      <c r="F10" s="20" t="inlineStr">
        <is>
          <t>High</t>
        </is>
      </c>
      <c r="G10" s="25" t="inlineStr">
        <is>
          <t>Sprint 4</t>
        </is>
      </c>
      <c r="H10" s="27" t="inlineStr">
        <is>
          <t>2026-05-23</t>
        </is>
      </c>
      <c r="I10" s="27" t="inlineStr">
        <is>
          <t>2026-05-28</t>
        </is>
      </c>
      <c r="J10" s="28" t="n">
        <v>0.65</v>
      </c>
      <c r="K10" s="25" t="inlineStr">
        <is>
          <t>—</t>
        </is>
      </c>
      <c r="L10" s="25" t="inlineStr">
        <is>
          <t>In Review</t>
        </is>
      </c>
      <c r="M10" s="25" t="inlineStr">
        <is>
          <t>No</t>
        </is>
      </c>
      <c r="N10" s="25" t="inlineStr">
        <is>
          <t>UAT feedback pending</t>
        </is>
      </c>
      <c r="O10" s="25" t="inlineStr">
        <is>
          <t>Auth</t>
        </is>
      </c>
      <c r="P10" s="25" t="inlineStr">
        <is>
          <t>Security</t>
        </is>
      </c>
    </row>
    <row r="11" ht="18" customHeight="1">
      <c r="A11" s="16" t="inlineStr">
        <is>
          <t>US-035</t>
        </is>
      </c>
      <c r="B11" s="17" t="inlineStr">
        <is>
          <t>Automated daily email digest to stakeholders</t>
        </is>
      </c>
      <c r="C11" s="18" t="inlineStr">
        <is>
          <t>K. Sharma</t>
        </is>
      </c>
      <c r="D11" s="16" t="n">
        <v>5</v>
      </c>
      <c r="E11" s="30" t="inlineStr">
        <is>
          <t>In Progress</t>
        </is>
      </c>
      <c r="F11" s="29" t="inlineStr">
        <is>
          <t>Medium</t>
        </is>
      </c>
      <c r="G11" s="18" t="inlineStr">
        <is>
          <t>Sprint 4</t>
        </is>
      </c>
      <c r="H11" s="21" t="inlineStr">
        <is>
          <t>2026-05-24</t>
        </is>
      </c>
      <c r="I11" s="21" t="inlineStr">
        <is>
          <t>2026-05-28</t>
        </is>
      </c>
      <c r="J11" s="22" t="n">
        <v>0.4</v>
      </c>
      <c r="K11" s="18" t="inlineStr">
        <is>
          <t>—</t>
        </is>
      </c>
      <c r="L11" s="18" t="inlineStr">
        <is>
          <t>Not Started</t>
        </is>
      </c>
      <c r="M11" s="18" t="inlineStr">
        <is>
          <t>No</t>
        </is>
      </c>
      <c r="N11" s="18" t="inlineStr">
        <is>
          <t>Template under review</t>
        </is>
      </c>
      <c r="O11" s="18" t="inlineStr">
        <is>
          <t>Email</t>
        </is>
      </c>
      <c r="P11" s="18" t="inlineStr">
        <is>
          <t>Notifications</t>
        </is>
      </c>
    </row>
    <row r="12" ht="18" customHeight="1">
      <c r="A12" s="23" t="inlineStr">
        <is>
          <t>US-036</t>
        </is>
      </c>
      <c r="B12" s="24" t="inlineStr">
        <is>
          <t>Bulk upload users via CSV</t>
        </is>
      </c>
      <c r="C12" s="25" t="inlineStr">
        <is>
          <t>A. Müller</t>
        </is>
      </c>
      <c r="D12" s="23" t="n">
        <v>3</v>
      </c>
      <c r="E12" s="30" t="inlineStr">
        <is>
          <t>In Progress</t>
        </is>
      </c>
      <c r="F12" s="31" t="inlineStr">
        <is>
          <t>Low</t>
        </is>
      </c>
      <c r="G12" s="25" t="inlineStr">
        <is>
          <t>Sprint 4</t>
        </is>
      </c>
      <c r="H12" s="27" t="inlineStr">
        <is>
          <t>2026-05-26</t>
        </is>
      </c>
      <c r="I12" s="27" t="inlineStr">
        <is>
          <t>2026-05-30</t>
        </is>
      </c>
      <c r="J12" s="28" t="n">
        <v>0.3</v>
      </c>
      <c r="K12" s="25" t="inlineStr">
        <is>
          <t>US-034</t>
        </is>
      </c>
      <c r="L12" s="25" t="inlineStr">
        <is>
          <t>Not Started</t>
        </is>
      </c>
      <c r="M12" s="25" t="inlineStr">
        <is>
          <t>No</t>
        </is>
      </c>
      <c r="N12" s="25" t="inlineStr">
        <is>
          <t>Waiting on role config</t>
        </is>
      </c>
      <c r="O12" s="25" t="inlineStr">
        <is>
          <t>Upload</t>
        </is>
      </c>
      <c r="P12" s="25" t="inlineStr">
        <is>
          <t>User Management</t>
        </is>
      </c>
    </row>
    <row r="13" ht="18" customHeight="1">
      <c r="A13" s="16" t="inlineStr">
        <is>
          <t>US-037</t>
        </is>
      </c>
      <c r="B13" s="17" t="inlineStr">
        <is>
          <t>API rate limiting and error handling</t>
        </is>
      </c>
      <c r="C13" s="18" t="inlineStr">
        <is>
          <t>T. Bauer</t>
        </is>
      </c>
      <c r="D13" s="16" t="n">
        <v>8</v>
      </c>
      <c r="E13" s="32" t="inlineStr">
        <is>
          <t>Blocked</t>
        </is>
      </c>
      <c r="F13" s="26" t="inlineStr">
        <is>
          <t>Critical</t>
        </is>
      </c>
      <c r="G13" s="18" t="inlineStr">
        <is>
          <t>Sprint 4</t>
        </is>
      </c>
      <c r="H13" s="21" t="inlineStr">
        <is>
          <t>2026-05-23</t>
        </is>
      </c>
      <c r="I13" s="21" t="inlineStr">
        <is>
          <t>2026-05-29</t>
        </is>
      </c>
      <c r="J13" s="22" t="n">
        <v>0.2</v>
      </c>
      <c r="K13" s="18" t="inlineStr">
        <is>
          <t>US-034</t>
        </is>
      </c>
      <c r="L13" s="18" t="inlineStr">
        <is>
          <t>Not Started</t>
        </is>
      </c>
      <c r="M13" s="18" t="inlineStr">
        <is>
          <t>No</t>
        </is>
      </c>
      <c r="N13" s="18" t="inlineStr">
        <is>
          <t>Blocked on auth roles</t>
        </is>
      </c>
      <c r="O13" s="18" t="inlineStr">
        <is>
          <t>API</t>
        </is>
      </c>
      <c r="P13" s="18" t="inlineStr">
        <is>
          <t>Backend</t>
        </is>
      </c>
    </row>
    <row r="14" ht="18" customHeight="1">
      <c r="A14" s="23" t="inlineStr">
        <is>
          <t>US-038</t>
        </is>
      </c>
      <c r="B14" s="24" t="inlineStr">
        <is>
          <t>Mobile responsive layout for dashboard</t>
        </is>
      </c>
      <c r="C14" s="25" t="inlineStr">
        <is>
          <t>K. Sharma</t>
        </is>
      </c>
      <c r="D14" s="23" t="n">
        <v>5</v>
      </c>
      <c r="E14" s="33" t="inlineStr">
        <is>
          <t>To Do</t>
        </is>
      </c>
      <c r="F14" s="29" t="inlineStr">
        <is>
          <t>Medium</t>
        </is>
      </c>
      <c r="G14" s="25" t="inlineStr">
        <is>
          <t>Sprint 4</t>
        </is>
      </c>
      <c r="H14" s="27" t="inlineStr">
        <is>
          <t>2026-05-28</t>
        </is>
      </c>
      <c r="I14" s="27" t="inlineStr">
        <is>
          <t>2026-06-01</t>
        </is>
      </c>
      <c r="J14" s="28" t="n">
        <v>0</v>
      </c>
      <c r="K14" s="25" t="inlineStr">
        <is>
          <t>—</t>
        </is>
      </c>
      <c r="L14" s="25" t="inlineStr">
        <is>
          <t>Not Started</t>
        </is>
      </c>
      <c r="M14" s="25" t="inlineStr">
        <is>
          <t>No</t>
        </is>
      </c>
      <c r="N14" s="25" t="inlineStr">
        <is>
          <t>Design approved</t>
        </is>
      </c>
      <c r="O14" s="25" t="inlineStr">
        <is>
          <t>UI</t>
        </is>
      </c>
      <c r="P14" s="25" t="inlineStr">
        <is>
          <t>Frontend</t>
        </is>
      </c>
    </row>
    <row r="15" ht="18" customHeight="1">
      <c r="A15" s="16" t="inlineStr">
        <is>
          <t>US-039</t>
        </is>
      </c>
      <c r="B15" s="17" t="inlineStr">
        <is>
          <t>Audit log for all admin actions</t>
        </is>
      </c>
      <c r="C15" s="18" t="inlineStr">
        <is>
          <t>V. Suresh</t>
        </is>
      </c>
      <c r="D15" s="16" t="n">
        <v>5</v>
      </c>
      <c r="E15" s="33" t="inlineStr">
        <is>
          <t>To Do</t>
        </is>
      </c>
      <c r="F15" s="20" t="inlineStr">
        <is>
          <t>High</t>
        </is>
      </c>
      <c r="G15" s="18" t="inlineStr">
        <is>
          <t>Sprint 4</t>
        </is>
      </c>
      <c r="H15" s="21" t="inlineStr">
        <is>
          <t>2026-05-28</t>
        </is>
      </c>
      <c r="I15" s="21" t="inlineStr">
        <is>
          <t>2026-06-02</t>
        </is>
      </c>
      <c r="J15" s="22" t="n">
        <v>0</v>
      </c>
      <c r="K15" s="18" t="inlineStr">
        <is>
          <t>—</t>
        </is>
      </c>
      <c r="L15" s="18" t="inlineStr">
        <is>
          <t>Not Started</t>
        </is>
      </c>
      <c r="M15" s="18" t="inlineStr">
        <is>
          <t>No</t>
        </is>
      </c>
      <c r="N15" s="18" t="inlineStr">
        <is>
          <t>Schema defined</t>
        </is>
      </c>
      <c r="O15" s="18" t="inlineStr">
        <is>
          <t>Logging</t>
        </is>
      </c>
      <c r="P15" s="18" t="inlineStr">
        <is>
          <t>Security</t>
        </is>
      </c>
    </row>
    <row r="16" ht="18" customHeight="1">
      <c r="A16" s="23" t="inlineStr">
        <is>
          <t>US-040</t>
        </is>
      </c>
      <c r="B16" s="24" t="inlineStr">
        <is>
          <t>Onboarding wizard for new users</t>
        </is>
      </c>
      <c r="C16" s="25" t="inlineStr">
        <is>
          <t>A. Müller</t>
        </is>
      </c>
      <c r="D16" s="23" t="n">
        <v>3</v>
      </c>
      <c r="E16" s="33" t="inlineStr">
        <is>
          <t>To Do</t>
        </is>
      </c>
      <c r="F16" s="31" t="inlineStr">
        <is>
          <t>Low</t>
        </is>
      </c>
      <c r="G16" s="25" t="inlineStr">
        <is>
          <t>Sprint 4</t>
        </is>
      </c>
      <c r="H16" s="27" t="inlineStr">
        <is>
          <t>2026-05-29</t>
        </is>
      </c>
      <c r="I16" s="27" t="inlineStr">
        <is>
          <t>2026-06-02</t>
        </is>
      </c>
      <c r="J16" s="28" t="n">
        <v>0</v>
      </c>
      <c r="K16" s="25" t="inlineStr">
        <is>
          <t>—</t>
        </is>
      </c>
      <c r="L16" s="25" t="inlineStr">
        <is>
          <t>Not Started</t>
        </is>
      </c>
      <c r="M16" s="25" t="inlineStr">
        <is>
          <t>No</t>
        </is>
      </c>
      <c r="N16" s="25" t="inlineStr">
        <is>
          <t>Copy TBD</t>
        </is>
      </c>
      <c r="O16" s="25" t="inlineStr">
        <is>
          <t>UX</t>
        </is>
      </c>
      <c r="P16" s="25" t="inlineStr">
        <is>
          <t>Onboarding</t>
        </is>
      </c>
    </row>
  </sheetData>
  <mergeCells count="18">
    <mergeCell ref="A4:B4"/>
    <mergeCell ref="G4:H4"/>
    <mergeCell ref="E4:F4"/>
    <mergeCell ref="O3:P3"/>
    <mergeCell ref="I4:J4"/>
    <mergeCell ref="M4:N4"/>
    <mergeCell ref="I3:J3"/>
    <mergeCell ref="A1:P1"/>
    <mergeCell ref="O4:P4"/>
    <mergeCell ref="C4:D4"/>
    <mergeCell ref="M3:N3"/>
    <mergeCell ref="K4:L4"/>
    <mergeCell ref="C3:D3"/>
    <mergeCell ref="A3:B3"/>
    <mergeCell ref="G3:H3"/>
    <mergeCell ref="E3:F3"/>
    <mergeCell ref="K3:L3"/>
    <mergeCell ref="A2:P2"/>
  </mergeCells>
  <conditionalFormatting sqref="J7:J16">
    <cfRule type="dataBar" priority="1">
      <dataBar>
        <cfvo type="num" val="0"/>
        <cfvo type="num" val="1"/>
        <color rgb="002E75B6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2" customWidth="1" min="3" max="3"/>
    <col width="10" customWidth="1" min="4" max="4"/>
    <col width="14" customWidth="1" min="5" max="5"/>
    <col width="12" customWidth="1" min="6" max="6"/>
    <col width="12" customWidth="1" min="7" max="7"/>
    <col width="8" customWidth="1" min="8" max="8"/>
    <col width="14" customWidth="1" min="9" max="9"/>
    <col width="20" customWidth="1" min="10" max="10"/>
    <col width="16" customWidth="1" min="11" max="11"/>
    <col width="10" customWidth="1" min="12" max="12"/>
  </cols>
  <sheetData>
    <row r="1" ht="28" customHeight="1">
      <c r="A1" s="34" t="inlineStr">
        <is>
          <t>PRODUCT BACKLOG — CRM MODERNISATION</t>
        </is>
      </c>
    </row>
    <row r="2" ht="28" customHeight="1">
      <c r="A2" s="15" t="inlineStr">
        <is>
          <t>ID</t>
        </is>
      </c>
      <c r="B2" s="15" t="inlineStr">
        <is>
          <t>User Story / Task</t>
        </is>
      </c>
      <c r="C2" s="15" t="inlineStr">
        <is>
          <t>Assignee</t>
        </is>
      </c>
      <c r="D2" s="15" t="inlineStr">
        <is>
          <t>Points</t>
        </is>
      </c>
      <c r="E2" s="15" t="inlineStr">
        <is>
          <t>Status</t>
        </is>
      </c>
      <c r="F2" s="15" t="inlineStr">
        <is>
          <t>Priority</t>
        </is>
      </c>
      <c r="G2" s="15" t="inlineStr">
        <is>
          <t>Sprint</t>
        </is>
      </c>
      <c r="H2" s="15" t="inlineStr">
        <is>
          <t>Epic</t>
        </is>
      </c>
      <c r="I2" s="15" t="inlineStr">
        <is>
          <t>Acceptance Criteria</t>
        </is>
      </c>
      <c r="J2" s="15" t="inlineStr">
        <is>
          <t>Definition of Done</t>
        </is>
      </c>
      <c r="K2" s="15" t="inlineStr">
        <is>
          <t>Label</t>
        </is>
      </c>
      <c r="L2" s="15" t="inlineStr">
        <is>
          <t>MoSCoW</t>
        </is>
      </c>
    </row>
    <row r="3" ht="17" customHeight="1">
      <c r="A3" s="35" t="inlineStr">
        <is>
          <t>US-001</t>
        </is>
      </c>
      <c r="B3" s="36" t="inlineStr">
        <is>
          <t>User registration with email verification</t>
        </is>
      </c>
      <c r="C3" s="37" t="inlineStr">
        <is>
          <t>V. Suresh</t>
        </is>
      </c>
      <c r="D3" s="35" t="n">
        <v>3</v>
      </c>
      <c r="E3" s="38" t="inlineStr">
        <is>
          <t>Done</t>
        </is>
      </c>
      <c r="F3" s="39" t="inlineStr">
        <is>
          <t>High</t>
        </is>
      </c>
      <c r="G3" s="37" t="inlineStr">
        <is>
          <t>Sprint 1</t>
        </is>
      </c>
      <c r="H3" s="37" t="inlineStr">
        <is>
          <t>User Mgmt</t>
        </is>
      </c>
      <c r="I3" s="37" t="inlineStr">
        <is>
          <t>Email sent within 30s</t>
        </is>
      </c>
      <c r="J3" s="37" t="inlineStr">
        <is>
          <t>Unit + integration tested</t>
        </is>
      </c>
      <c r="K3" s="37" t="inlineStr">
        <is>
          <t>Auth</t>
        </is>
      </c>
      <c r="L3" s="40" t="inlineStr">
        <is>
          <t>Must</t>
        </is>
      </c>
    </row>
    <row r="4" ht="17" customHeight="1">
      <c r="A4" s="41" t="inlineStr">
        <is>
          <t>US-002</t>
        </is>
      </c>
      <c r="B4" s="42" t="inlineStr">
        <is>
          <t>Login with MFA support</t>
        </is>
      </c>
      <c r="C4" s="43" t="inlineStr">
        <is>
          <t>T. Bauer</t>
        </is>
      </c>
      <c r="D4" s="41" t="n">
        <v>5</v>
      </c>
      <c r="E4" s="38" t="inlineStr">
        <is>
          <t>Done</t>
        </is>
      </c>
      <c r="F4" s="40" t="inlineStr">
        <is>
          <t>Critical</t>
        </is>
      </c>
      <c r="G4" s="43" t="inlineStr">
        <is>
          <t>Sprint 1</t>
        </is>
      </c>
      <c r="H4" s="43" t="inlineStr">
        <is>
          <t>Security</t>
        </is>
      </c>
      <c r="I4" s="43" t="inlineStr">
        <is>
          <t>MFA via authenticator app works</t>
        </is>
      </c>
      <c r="J4" s="43" t="inlineStr">
        <is>
          <t>Security tested</t>
        </is>
      </c>
      <c r="K4" s="43" t="inlineStr">
        <is>
          <t>Auth</t>
        </is>
      </c>
      <c r="L4" s="40" t="inlineStr">
        <is>
          <t>Must</t>
        </is>
      </c>
    </row>
    <row r="5" ht="17" customHeight="1">
      <c r="A5" s="35" t="inlineStr">
        <is>
          <t>US-003</t>
        </is>
      </c>
      <c r="B5" s="36" t="inlineStr">
        <is>
          <t>Dashboard with KPI widgets</t>
        </is>
      </c>
      <c r="C5" s="37" t="inlineStr">
        <is>
          <t>A. Müller</t>
        </is>
      </c>
      <c r="D5" s="35" t="n">
        <v>8</v>
      </c>
      <c r="E5" s="38" t="inlineStr">
        <is>
          <t>Done</t>
        </is>
      </c>
      <c r="F5" s="39" t="inlineStr">
        <is>
          <t>High</t>
        </is>
      </c>
      <c r="G5" s="37" t="inlineStr">
        <is>
          <t>Sprint 1</t>
        </is>
      </c>
      <c r="H5" s="37" t="inlineStr">
        <is>
          <t>Dashboard</t>
        </is>
      </c>
      <c r="I5" s="37" t="inlineStr">
        <is>
          <t>5 widgets load &lt; 2s</t>
        </is>
      </c>
      <c r="J5" s="37" t="inlineStr">
        <is>
          <t>Perf test passed</t>
        </is>
      </c>
      <c r="K5" s="37" t="inlineStr">
        <is>
          <t>UI</t>
        </is>
      </c>
      <c r="L5" s="40" t="inlineStr">
        <is>
          <t>Must</t>
        </is>
      </c>
    </row>
    <row r="6" ht="17" customHeight="1">
      <c r="A6" s="41" t="inlineStr">
        <is>
          <t>US-004</t>
        </is>
      </c>
      <c r="B6" s="42" t="inlineStr">
        <is>
          <t>Customer profile CRUD operations</t>
        </is>
      </c>
      <c r="C6" s="43" t="inlineStr">
        <is>
          <t>K. Sharma</t>
        </is>
      </c>
      <c r="D6" s="41" t="n">
        <v>5</v>
      </c>
      <c r="E6" s="38" t="inlineStr">
        <is>
          <t>Done</t>
        </is>
      </c>
      <c r="F6" s="39" t="inlineStr">
        <is>
          <t>High</t>
        </is>
      </c>
      <c r="G6" s="43" t="inlineStr">
        <is>
          <t>Sprint 2</t>
        </is>
      </c>
      <c r="H6" s="43" t="inlineStr">
        <is>
          <t>CRM Core</t>
        </is>
      </c>
      <c r="I6" s="43" t="inlineStr">
        <is>
          <t>All fields validated</t>
        </is>
      </c>
      <c r="J6" s="43" t="inlineStr">
        <is>
          <t>E2E tested</t>
        </is>
      </c>
      <c r="K6" s="43" t="inlineStr">
        <is>
          <t>Data</t>
        </is>
      </c>
      <c r="L6" s="40" t="inlineStr">
        <is>
          <t>Must</t>
        </is>
      </c>
    </row>
    <row r="7" ht="17" customHeight="1">
      <c r="A7" s="35" t="inlineStr">
        <is>
          <t>US-005</t>
        </is>
      </c>
      <c r="B7" s="36" t="inlineStr">
        <is>
          <t>Search and filter contacts</t>
        </is>
      </c>
      <c r="C7" s="37" t="inlineStr">
        <is>
          <t>V. Suresh</t>
        </is>
      </c>
      <c r="D7" s="35" t="n">
        <v>5</v>
      </c>
      <c r="E7" s="38" t="inlineStr">
        <is>
          <t>Done</t>
        </is>
      </c>
      <c r="F7" s="39" t="inlineStr">
        <is>
          <t>High</t>
        </is>
      </c>
      <c r="G7" s="37" t="inlineStr">
        <is>
          <t>Sprint 2</t>
        </is>
      </c>
      <c r="H7" s="37" t="inlineStr">
        <is>
          <t>CRM Core</t>
        </is>
      </c>
      <c r="I7" s="37" t="inlineStr">
        <is>
          <t>Results &lt; 1s for 10k records</t>
        </is>
      </c>
      <c r="J7" s="37" t="inlineStr">
        <is>
          <t>Load tested</t>
        </is>
      </c>
      <c r="K7" s="37" t="inlineStr">
        <is>
          <t>Search</t>
        </is>
      </c>
      <c r="L7" s="40" t="inlineStr">
        <is>
          <t>Must</t>
        </is>
      </c>
    </row>
    <row r="8" ht="17" customHeight="1">
      <c r="A8" s="41" t="inlineStr">
        <is>
          <t>US-006</t>
        </is>
      </c>
      <c r="B8" s="42" t="inlineStr">
        <is>
          <t>Activity timeline per customer</t>
        </is>
      </c>
      <c r="C8" s="43" t="inlineStr">
        <is>
          <t>A. Müller</t>
        </is>
      </c>
      <c r="D8" s="41" t="n">
        <v>5</v>
      </c>
      <c r="E8" s="38" t="inlineStr">
        <is>
          <t>Done</t>
        </is>
      </c>
      <c r="F8" s="44" t="inlineStr">
        <is>
          <t>Medium</t>
        </is>
      </c>
      <c r="G8" s="43" t="inlineStr">
        <is>
          <t>Sprint 2</t>
        </is>
      </c>
      <c r="H8" s="43" t="inlineStr">
        <is>
          <t>CRM Core</t>
        </is>
      </c>
      <c r="I8" s="43" t="inlineStr">
        <is>
          <t>Shows last 50 activities</t>
        </is>
      </c>
      <c r="J8" s="43" t="inlineStr">
        <is>
          <t>Tested</t>
        </is>
      </c>
      <c r="K8" s="43" t="inlineStr">
        <is>
          <t>Timeline</t>
        </is>
      </c>
      <c r="L8" s="44" t="inlineStr">
        <is>
          <t>Should</t>
        </is>
      </c>
    </row>
    <row r="9" ht="17" customHeight="1">
      <c r="A9" s="35" t="inlineStr">
        <is>
          <t>US-007</t>
        </is>
      </c>
      <c r="B9" s="36" t="inlineStr">
        <is>
          <t>Opportunity pipeline (Kanban view)</t>
        </is>
      </c>
      <c r="C9" s="37" t="inlineStr">
        <is>
          <t>T. Bauer</t>
        </is>
      </c>
      <c r="D9" s="35" t="n">
        <v>8</v>
      </c>
      <c r="E9" s="38" t="inlineStr">
        <is>
          <t>Done</t>
        </is>
      </c>
      <c r="F9" s="39" t="inlineStr">
        <is>
          <t>High</t>
        </is>
      </c>
      <c r="G9" s="37" t="inlineStr">
        <is>
          <t>Sprint 2</t>
        </is>
      </c>
      <c r="H9" s="37" t="inlineStr">
        <is>
          <t>Pipeline</t>
        </is>
      </c>
      <c r="I9" s="37" t="inlineStr">
        <is>
          <t>Drag and drop works</t>
        </is>
      </c>
      <c r="J9" s="37" t="inlineStr">
        <is>
          <t>UAT passed</t>
        </is>
      </c>
      <c r="K9" s="37" t="inlineStr">
        <is>
          <t>Sales</t>
        </is>
      </c>
      <c r="L9" s="40" t="inlineStr">
        <is>
          <t>Must</t>
        </is>
      </c>
    </row>
    <row r="10" ht="17" customHeight="1">
      <c r="A10" s="41" t="inlineStr">
        <is>
          <t>US-008</t>
        </is>
      </c>
      <c r="B10" s="42" t="inlineStr">
        <is>
          <t>Email integration (send/receive)</t>
        </is>
      </c>
      <c r="C10" s="43" t="inlineStr">
        <is>
          <t>K. Sharma</t>
        </is>
      </c>
      <c r="D10" s="41" t="n">
        <v>8</v>
      </c>
      <c r="E10" s="38" t="inlineStr">
        <is>
          <t>Done</t>
        </is>
      </c>
      <c r="F10" s="39" t="inlineStr">
        <is>
          <t>High</t>
        </is>
      </c>
      <c r="G10" s="43" t="inlineStr">
        <is>
          <t>Sprint 3</t>
        </is>
      </c>
      <c r="H10" s="43" t="inlineStr">
        <is>
          <t>Comms</t>
        </is>
      </c>
      <c r="I10" s="43" t="inlineStr">
        <is>
          <t>OAuth connected to Gmail/Outlook</t>
        </is>
      </c>
      <c r="J10" s="43" t="inlineStr">
        <is>
          <t>Security audit</t>
        </is>
      </c>
      <c r="K10" s="43" t="inlineStr">
        <is>
          <t>Email</t>
        </is>
      </c>
      <c r="L10" s="40" t="inlineStr">
        <is>
          <t>Must</t>
        </is>
      </c>
    </row>
    <row r="11" ht="17" customHeight="1">
      <c r="A11" s="35" t="inlineStr">
        <is>
          <t>US-009</t>
        </is>
      </c>
      <c r="B11" s="36" t="inlineStr">
        <is>
          <t>Task management with reminders</t>
        </is>
      </c>
      <c r="C11" s="37" t="inlineStr">
        <is>
          <t>V. Suresh</t>
        </is>
      </c>
      <c r="D11" s="35" t="n">
        <v>5</v>
      </c>
      <c r="E11" s="38" t="inlineStr">
        <is>
          <t>Done</t>
        </is>
      </c>
      <c r="F11" s="44" t="inlineStr">
        <is>
          <t>Medium</t>
        </is>
      </c>
      <c r="G11" s="37" t="inlineStr">
        <is>
          <t>Sprint 3</t>
        </is>
      </c>
      <c r="H11" s="37" t="inlineStr">
        <is>
          <t>Tasks</t>
        </is>
      </c>
      <c r="I11" s="37" t="inlineStr">
        <is>
          <t>Push notification works</t>
        </is>
      </c>
      <c r="J11" s="37" t="inlineStr">
        <is>
          <t>Tested</t>
        </is>
      </c>
      <c r="K11" s="37" t="inlineStr">
        <is>
          <t>Tasks</t>
        </is>
      </c>
      <c r="L11" s="44" t="inlineStr">
        <is>
          <t>Should</t>
        </is>
      </c>
    </row>
    <row r="12" ht="17" customHeight="1">
      <c r="A12" s="41" t="inlineStr">
        <is>
          <t>US-010</t>
        </is>
      </c>
      <c r="B12" s="42" t="inlineStr">
        <is>
          <t>Custom fields per object type</t>
        </is>
      </c>
      <c r="C12" s="43" t="inlineStr">
        <is>
          <t>A. Müller</t>
        </is>
      </c>
      <c r="D12" s="41" t="n">
        <v>5</v>
      </c>
      <c r="E12" s="38" t="inlineStr">
        <is>
          <t>Done</t>
        </is>
      </c>
      <c r="F12" s="44" t="inlineStr">
        <is>
          <t>Medium</t>
        </is>
      </c>
      <c r="G12" s="43" t="inlineStr">
        <is>
          <t>Sprint 3</t>
        </is>
      </c>
      <c r="H12" s="43" t="inlineStr">
        <is>
          <t>Config</t>
        </is>
      </c>
      <c r="I12" s="43" t="inlineStr">
        <is>
          <t>Admin can add up to 20 fields</t>
        </is>
      </c>
      <c r="J12" s="43" t="inlineStr">
        <is>
          <t>Tested</t>
        </is>
      </c>
      <c r="K12" s="43" t="inlineStr">
        <is>
          <t>Config</t>
        </is>
      </c>
      <c r="L12" s="44" t="inlineStr">
        <is>
          <t>Should</t>
        </is>
      </c>
    </row>
    <row r="13" ht="17" customHeight="1">
      <c r="A13" s="35" t="inlineStr">
        <is>
          <t>US-031</t>
        </is>
      </c>
      <c r="B13" s="36" t="inlineStr">
        <is>
          <t>Password reset via email link</t>
        </is>
      </c>
      <c r="C13" s="37" t="inlineStr">
        <is>
          <t>V. Suresh</t>
        </is>
      </c>
      <c r="D13" s="35" t="n">
        <v>5</v>
      </c>
      <c r="E13" s="38" t="inlineStr">
        <is>
          <t>Done</t>
        </is>
      </c>
      <c r="F13" s="39" t="inlineStr">
        <is>
          <t>High</t>
        </is>
      </c>
      <c r="G13" s="37" t="inlineStr">
        <is>
          <t>Sprint 4</t>
        </is>
      </c>
      <c r="H13" s="37" t="inlineStr">
        <is>
          <t>User Mgmt</t>
        </is>
      </c>
      <c r="I13" s="37" t="inlineStr">
        <is>
          <t>Token expires in 1hr</t>
        </is>
      </c>
      <c r="J13" s="37" t="inlineStr">
        <is>
          <t>Tested</t>
        </is>
      </c>
      <c r="K13" s="37" t="inlineStr">
        <is>
          <t>Auth</t>
        </is>
      </c>
      <c r="L13" s="40" t="inlineStr">
        <is>
          <t>Must</t>
        </is>
      </c>
    </row>
    <row r="14" ht="17" customHeight="1">
      <c r="A14" s="41" t="inlineStr">
        <is>
          <t>US-032</t>
        </is>
      </c>
      <c r="B14" s="42" t="inlineStr">
        <is>
          <t>Dashboard loads &lt; 2s on 4G</t>
        </is>
      </c>
      <c r="C14" s="43" t="inlineStr">
        <is>
          <t>T. Bauer</t>
        </is>
      </c>
      <c r="D14" s="41" t="n">
        <v>8</v>
      </c>
      <c r="E14" s="38" t="inlineStr">
        <is>
          <t>Done</t>
        </is>
      </c>
      <c r="F14" s="40" t="inlineStr">
        <is>
          <t>Critical</t>
        </is>
      </c>
      <c r="G14" s="43" t="inlineStr">
        <is>
          <t>Sprint 4</t>
        </is>
      </c>
      <c r="H14" s="43" t="inlineStr">
        <is>
          <t>Dashboard</t>
        </is>
      </c>
      <c r="I14" s="43" t="inlineStr">
        <is>
          <t>Lighthouse score &gt; 85</t>
        </is>
      </c>
      <c r="J14" s="43" t="inlineStr">
        <is>
          <t>Perf tested</t>
        </is>
      </c>
      <c r="K14" s="43" t="inlineStr">
        <is>
          <t>Perf</t>
        </is>
      </c>
      <c r="L14" s="40" t="inlineStr">
        <is>
          <t>Must</t>
        </is>
      </c>
    </row>
    <row r="15" ht="17" customHeight="1">
      <c r="A15" s="35" t="inlineStr">
        <is>
          <t>US-033</t>
        </is>
      </c>
      <c r="B15" s="36" t="inlineStr">
        <is>
          <t>Export report as PDF</t>
        </is>
      </c>
      <c r="C15" s="37" t="inlineStr">
        <is>
          <t>A. Müller</t>
        </is>
      </c>
      <c r="D15" s="35" t="n">
        <v>5</v>
      </c>
      <c r="E15" s="38" t="inlineStr">
        <is>
          <t>Done</t>
        </is>
      </c>
      <c r="F15" s="44" t="inlineStr">
        <is>
          <t>Medium</t>
        </is>
      </c>
      <c r="G15" s="37" t="inlineStr">
        <is>
          <t>Sprint 4</t>
        </is>
      </c>
      <c r="H15" s="37" t="inlineStr">
        <is>
          <t>Reports</t>
        </is>
      </c>
      <c r="I15" s="37" t="inlineStr">
        <is>
          <t>PDF matches UI layout</t>
        </is>
      </c>
      <c r="J15" s="37" t="inlineStr">
        <is>
          <t>UAT</t>
        </is>
      </c>
      <c r="K15" s="37" t="inlineStr">
        <is>
          <t>Export</t>
        </is>
      </c>
      <c r="L15" s="44" t="inlineStr">
        <is>
          <t>Should</t>
        </is>
      </c>
    </row>
    <row r="16" ht="17" customHeight="1">
      <c r="A16" s="41" t="inlineStr">
        <is>
          <t>US-034</t>
        </is>
      </c>
      <c r="B16" s="42" t="inlineStr">
        <is>
          <t>Role-based access control</t>
        </is>
      </c>
      <c r="C16" s="43" t="inlineStr">
        <is>
          <t>V. Suresh</t>
        </is>
      </c>
      <c r="D16" s="41" t="n">
        <v>8</v>
      </c>
      <c r="E16" s="45" t="inlineStr">
        <is>
          <t>In Progress</t>
        </is>
      </c>
      <c r="F16" s="39" t="inlineStr">
        <is>
          <t>High</t>
        </is>
      </c>
      <c r="G16" s="43" t="inlineStr">
        <is>
          <t>Sprint 4</t>
        </is>
      </c>
      <c r="H16" s="43" t="inlineStr">
        <is>
          <t>Security</t>
        </is>
      </c>
      <c r="I16" s="43" t="inlineStr">
        <is>
          <t>3 roles configured</t>
        </is>
      </c>
      <c r="J16" s="43" t="inlineStr">
        <is>
          <t>Pending UAT</t>
        </is>
      </c>
      <c r="K16" s="43" t="inlineStr">
        <is>
          <t>Auth</t>
        </is>
      </c>
      <c r="L16" s="40" t="inlineStr">
        <is>
          <t>Must</t>
        </is>
      </c>
    </row>
    <row r="17" ht="17" customHeight="1">
      <c r="A17" s="35" t="inlineStr">
        <is>
          <t>US-035</t>
        </is>
      </c>
      <c r="B17" s="36" t="inlineStr">
        <is>
          <t>Automated email digest</t>
        </is>
      </c>
      <c r="C17" s="37" t="inlineStr">
        <is>
          <t>K. Sharma</t>
        </is>
      </c>
      <c r="D17" s="35" t="n">
        <v>5</v>
      </c>
      <c r="E17" s="45" t="inlineStr">
        <is>
          <t>In Progress</t>
        </is>
      </c>
      <c r="F17" s="44" t="inlineStr">
        <is>
          <t>Medium</t>
        </is>
      </c>
      <c r="G17" s="37" t="inlineStr">
        <is>
          <t>Sprint 4</t>
        </is>
      </c>
      <c r="H17" s="37" t="inlineStr">
        <is>
          <t>Notifications</t>
        </is>
      </c>
      <c r="I17" s="37" t="inlineStr">
        <is>
          <t>Daily at 8am</t>
        </is>
      </c>
      <c r="J17" s="37" t="inlineStr">
        <is>
          <t>Pending</t>
        </is>
      </c>
      <c r="K17" s="37" t="inlineStr">
        <is>
          <t>Email</t>
        </is>
      </c>
      <c r="L17" s="44" t="inlineStr">
        <is>
          <t>Should</t>
        </is>
      </c>
    </row>
    <row r="18" ht="17" customHeight="1">
      <c r="A18" s="41" t="inlineStr">
        <is>
          <t>US-036</t>
        </is>
      </c>
      <c r="B18" s="42" t="inlineStr">
        <is>
          <t>Bulk user upload via CSV</t>
        </is>
      </c>
      <c r="C18" s="43" t="inlineStr">
        <is>
          <t>A. Müller</t>
        </is>
      </c>
      <c r="D18" s="41" t="n">
        <v>3</v>
      </c>
      <c r="E18" s="45" t="inlineStr">
        <is>
          <t>In Progress</t>
        </is>
      </c>
      <c r="F18" s="46" t="inlineStr">
        <is>
          <t>Low</t>
        </is>
      </c>
      <c r="G18" s="43" t="inlineStr">
        <is>
          <t>Sprint 4</t>
        </is>
      </c>
      <c r="H18" s="43" t="inlineStr">
        <is>
          <t>User Mgmt</t>
        </is>
      </c>
      <c r="I18" s="43" t="inlineStr">
        <is>
          <t>Validates on upload</t>
        </is>
      </c>
      <c r="J18" s="43" t="inlineStr">
        <is>
          <t>Not started</t>
        </is>
      </c>
      <c r="K18" s="43" t="inlineStr">
        <is>
          <t>Upload</t>
        </is>
      </c>
      <c r="L18" s="46" t="inlineStr">
        <is>
          <t>Could</t>
        </is>
      </c>
    </row>
    <row r="19" ht="17" customHeight="1">
      <c r="A19" s="35" t="inlineStr">
        <is>
          <t>US-037</t>
        </is>
      </c>
      <c r="B19" s="36" t="inlineStr">
        <is>
          <t>API rate limiting</t>
        </is>
      </c>
      <c r="C19" s="37" t="inlineStr">
        <is>
          <t>T. Bauer</t>
        </is>
      </c>
      <c r="D19" s="35" t="n">
        <v>8</v>
      </c>
      <c r="E19" s="47" t="inlineStr">
        <is>
          <t>Blocked</t>
        </is>
      </c>
      <c r="F19" s="40" t="inlineStr">
        <is>
          <t>Critical</t>
        </is>
      </c>
      <c r="G19" s="37" t="inlineStr">
        <is>
          <t>Sprint 4</t>
        </is>
      </c>
      <c r="H19" s="37" t="inlineStr">
        <is>
          <t>Backend</t>
        </is>
      </c>
      <c r="I19" s="37" t="inlineStr">
        <is>
          <t>429 returned on limit</t>
        </is>
      </c>
      <c r="J19" s="37" t="inlineStr">
        <is>
          <t>Not started</t>
        </is>
      </c>
      <c r="K19" s="37" t="inlineStr">
        <is>
          <t>API</t>
        </is>
      </c>
      <c r="L19" s="40" t="inlineStr">
        <is>
          <t>Must</t>
        </is>
      </c>
    </row>
    <row r="20" ht="17" customHeight="1">
      <c r="A20" s="41" t="inlineStr">
        <is>
          <t>US-038</t>
        </is>
      </c>
      <c r="B20" s="42" t="inlineStr">
        <is>
          <t>Mobile responsive dashboard</t>
        </is>
      </c>
      <c r="C20" s="43" t="inlineStr">
        <is>
          <t>K. Sharma</t>
        </is>
      </c>
      <c r="D20" s="41" t="n">
        <v>5</v>
      </c>
      <c r="E20" s="48" t="inlineStr">
        <is>
          <t>To Do</t>
        </is>
      </c>
      <c r="F20" s="44" t="inlineStr">
        <is>
          <t>Medium</t>
        </is>
      </c>
      <c r="G20" s="43" t="inlineStr">
        <is>
          <t>Sprint 4</t>
        </is>
      </c>
      <c r="H20" s="43" t="inlineStr">
        <is>
          <t>Frontend</t>
        </is>
      </c>
      <c r="I20" s="43" t="inlineStr">
        <is>
          <t>Works on iOS and Android</t>
        </is>
      </c>
      <c r="J20" s="43" t="inlineStr">
        <is>
          <t>Not started</t>
        </is>
      </c>
      <c r="K20" s="43" t="inlineStr">
        <is>
          <t>UI</t>
        </is>
      </c>
      <c r="L20" s="44" t="inlineStr">
        <is>
          <t>Should</t>
        </is>
      </c>
    </row>
    <row r="21" ht="17" customHeight="1">
      <c r="A21" s="35" t="inlineStr">
        <is>
          <t>US-039</t>
        </is>
      </c>
      <c r="B21" s="36" t="inlineStr">
        <is>
          <t>Audit log for admin actions</t>
        </is>
      </c>
      <c r="C21" s="37" t="inlineStr">
        <is>
          <t>V. Suresh</t>
        </is>
      </c>
      <c r="D21" s="35" t="n">
        <v>5</v>
      </c>
      <c r="E21" s="48" t="inlineStr">
        <is>
          <t>To Do</t>
        </is>
      </c>
      <c r="F21" s="39" t="inlineStr">
        <is>
          <t>High</t>
        </is>
      </c>
      <c r="G21" s="37" t="inlineStr">
        <is>
          <t>Sprint 4</t>
        </is>
      </c>
      <c r="H21" s="37" t="inlineStr">
        <is>
          <t>Security</t>
        </is>
      </c>
      <c r="I21" s="37" t="inlineStr">
        <is>
          <t>Immutable log entries</t>
        </is>
      </c>
      <c r="J21" s="37" t="inlineStr">
        <is>
          <t>Not started</t>
        </is>
      </c>
      <c r="K21" s="37" t="inlineStr">
        <is>
          <t>Logging</t>
        </is>
      </c>
      <c r="L21" s="40" t="inlineStr">
        <is>
          <t>Must</t>
        </is>
      </c>
    </row>
    <row r="22" ht="17" customHeight="1">
      <c r="A22" s="41" t="inlineStr">
        <is>
          <t>US-040</t>
        </is>
      </c>
      <c r="B22" s="42" t="inlineStr">
        <is>
          <t>Onboarding wizard</t>
        </is>
      </c>
      <c r="C22" s="43" t="inlineStr">
        <is>
          <t>A. Müller</t>
        </is>
      </c>
      <c r="D22" s="41" t="n">
        <v>3</v>
      </c>
      <c r="E22" s="48" t="inlineStr">
        <is>
          <t>To Do</t>
        </is>
      </c>
      <c r="F22" s="46" t="inlineStr">
        <is>
          <t>Low</t>
        </is>
      </c>
      <c r="G22" s="43" t="inlineStr">
        <is>
          <t>Sprint 4</t>
        </is>
      </c>
      <c r="H22" s="43" t="inlineStr">
        <is>
          <t>Onboarding</t>
        </is>
      </c>
      <c r="I22" s="43" t="inlineStr">
        <is>
          <t>Skippable, &lt; 5 steps</t>
        </is>
      </c>
      <c r="J22" s="43" t="inlineStr">
        <is>
          <t>Not started</t>
        </is>
      </c>
      <c r="K22" s="43" t="inlineStr">
        <is>
          <t>UX</t>
        </is>
      </c>
      <c r="L22" s="46" t="inlineStr">
        <is>
          <t>Could</t>
        </is>
      </c>
    </row>
    <row r="23" ht="17" customHeight="1">
      <c r="A23" s="35" t="inlineStr">
        <is>
          <t>US-041</t>
        </is>
      </c>
      <c r="B23" s="36" t="inlineStr">
        <is>
          <t>Notifications centre</t>
        </is>
      </c>
      <c r="C23" s="37" t="inlineStr">
        <is>
          <t>K. Sharma</t>
        </is>
      </c>
      <c r="D23" s="35" t="n">
        <v>5</v>
      </c>
      <c r="E23" s="49" t="inlineStr">
        <is>
          <t>Backlog</t>
        </is>
      </c>
      <c r="F23" s="44" t="inlineStr">
        <is>
          <t>Medium</t>
        </is>
      </c>
      <c r="G23" s="37" t="inlineStr">
        <is>
          <t>Sprint 5</t>
        </is>
      </c>
      <c r="H23" s="37" t="inlineStr">
        <is>
          <t>Notifications</t>
        </is>
      </c>
      <c r="I23" s="37" t="inlineStr">
        <is>
          <t>In-app + email</t>
        </is>
      </c>
      <c r="J23" s="37" t="inlineStr">
        <is>
          <t>—</t>
        </is>
      </c>
      <c r="K23" s="37" t="inlineStr">
        <is>
          <t>Notif</t>
        </is>
      </c>
      <c r="L23" s="44" t="inlineStr">
        <is>
          <t>Should</t>
        </is>
      </c>
    </row>
    <row r="24" ht="17" customHeight="1">
      <c r="A24" s="41" t="inlineStr">
        <is>
          <t>US-042</t>
        </is>
      </c>
      <c r="B24" s="42" t="inlineStr">
        <is>
          <t>Advanced reporting builder</t>
        </is>
      </c>
      <c r="C24" s="43" t="inlineStr">
        <is>
          <t>T. Bauer</t>
        </is>
      </c>
      <c r="D24" s="41" t="n">
        <v>13</v>
      </c>
      <c r="E24" s="49" t="inlineStr">
        <is>
          <t>Backlog</t>
        </is>
      </c>
      <c r="F24" s="39" t="inlineStr">
        <is>
          <t>High</t>
        </is>
      </c>
      <c r="G24" s="43" t="inlineStr">
        <is>
          <t>Sprint 5</t>
        </is>
      </c>
      <c r="H24" s="43" t="inlineStr">
        <is>
          <t>Reports</t>
        </is>
      </c>
      <c r="I24" s="43" t="inlineStr">
        <is>
          <t>Drag-drop report builder</t>
        </is>
      </c>
      <c r="J24" s="43" t="inlineStr">
        <is>
          <t>—</t>
        </is>
      </c>
      <c r="K24" s="43" t="inlineStr">
        <is>
          <t>Reports</t>
        </is>
      </c>
      <c r="L24" s="40" t="inlineStr">
        <is>
          <t>Must</t>
        </is>
      </c>
    </row>
    <row r="25" ht="17" customHeight="1">
      <c r="A25" s="35" t="inlineStr">
        <is>
          <t>US-043</t>
        </is>
      </c>
      <c r="B25" s="36" t="inlineStr">
        <is>
          <t>CRM-Slack integration</t>
        </is>
      </c>
      <c r="C25" s="37" t="inlineStr">
        <is>
          <t>V. Suresh</t>
        </is>
      </c>
      <c r="D25" s="35" t="n">
        <v>8</v>
      </c>
      <c r="E25" s="49" t="inlineStr">
        <is>
          <t>Backlog</t>
        </is>
      </c>
      <c r="F25" s="44" t="inlineStr">
        <is>
          <t>Medium</t>
        </is>
      </c>
      <c r="G25" s="37" t="inlineStr">
        <is>
          <t>Sprint 5</t>
        </is>
      </c>
      <c r="H25" s="37" t="inlineStr">
        <is>
          <t>Integrations</t>
        </is>
      </c>
      <c r="I25" s="37" t="inlineStr">
        <is>
          <t>Post alerts to Slack</t>
        </is>
      </c>
      <c r="J25" s="37" t="inlineStr">
        <is>
          <t>—</t>
        </is>
      </c>
      <c r="K25" s="37" t="inlineStr">
        <is>
          <t>Integration</t>
        </is>
      </c>
      <c r="L25" s="46" t="inlineStr">
        <is>
          <t>Could</t>
        </is>
      </c>
    </row>
    <row r="26" ht="17" customHeight="1">
      <c r="A26" s="41" t="inlineStr">
        <is>
          <t>US-044</t>
        </is>
      </c>
      <c r="B26" s="42" t="inlineStr">
        <is>
          <t>Data import from legacy system</t>
        </is>
      </c>
      <c r="C26" s="43" t="inlineStr">
        <is>
          <t>A. Müller</t>
        </is>
      </c>
      <c r="D26" s="41" t="n">
        <v>13</v>
      </c>
      <c r="E26" s="49" t="inlineStr">
        <is>
          <t>Backlog</t>
        </is>
      </c>
      <c r="F26" s="40" t="inlineStr">
        <is>
          <t>Critical</t>
        </is>
      </c>
      <c r="G26" s="43" t="inlineStr">
        <is>
          <t>Sprint 5</t>
        </is>
      </c>
      <c r="H26" s="43" t="inlineStr">
        <is>
          <t>Migration</t>
        </is>
      </c>
      <c r="I26" s="43" t="inlineStr">
        <is>
          <t>Zero data loss</t>
        </is>
      </c>
      <c r="J26" s="43" t="inlineStr">
        <is>
          <t>—</t>
        </is>
      </c>
      <c r="K26" s="43" t="inlineStr">
        <is>
          <t>Migration</t>
        </is>
      </c>
      <c r="L26" s="40" t="inlineStr">
        <is>
          <t>Must</t>
        </is>
      </c>
    </row>
    <row r="27" ht="17" customHeight="1">
      <c r="A27" s="35" t="inlineStr">
        <is>
          <t>US-045</t>
        </is>
      </c>
      <c r="B27" s="36" t="inlineStr">
        <is>
          <t>GDPR data deletion workflow</t>
        </is>
      </c>
      <c r="C27" s="37" t="inlineStr">
        <is>
          <t>K. Sharma</t>
        </is>
      </c>
      <c r="D27" s="35" t="n">
        <v>8</v>
      </c>
      <c r="E27" s="49" t="inlineStr">
        <is>
          <t>Backlog</t>
        </is>
      </c>
      <c r="F27" s="39" t="inlineStr">
        <is>
          <t>High</t>
        </is>
      </c>
      <c r="G27" s="37" t="inlineStr">
        <is>
          <t>Sprint 5</t>
        </is>
      </c>
      <c r="H27" s="37" t="inlineStr">
        <is>
          <t>Compliance</t>
        </is>
      </c>
      <c r="I27" s="37" t="inlineStr">
        <is>
          <t>Deletion within 30 days</t>
        </is>
      </c>
      <c r="J27" s="37" t="inlineStr">
        <is>
          <t>—</t>
        </is>
      </c>
      <c r="K27" s="37" t="inlineStr">
        <is>
          <t>Legal</t>
        </is>
      </c>
      <c r="L27" s="40" t="inlineStr">
        <is>
          <t>Must</t>
        </is>
      </c>
    </row>
  </sheetData>
  <mergeCells count="1">
    <mergeCell ref="A1:L1"/>
  </mergeCells>
  <dataValidations count="2">
    <dataValidation sqref="E3:E52" showDropDown="0" showInputMessage="0" showErrorMessage="0" allowBlank="0" errorTitle="Invalid Status" error="Please select a valid status" type="list">
      <formula1>"Backlog,To Do,In Progress,Blocked,Done"</formula1>
    </dataValidation>
    <dataValidation sqref="F3:F52" showDropDown="0" showInputMessage="0" showErrorMessage="0" allowBlank="0" type="list">
      <formula1>"Critical,High,Medium,Low"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22" customWidth="1" min="4" max="4"/>
    <col width="18" customWidth="1" min="5" max="5"/>
    <col width="20" customWidth="1" min="6" max="6"/>
  </cols>
  <sheetData>
    <row r="1" ht="26" customHeight="1">
      <c r="A1" s="50" t="inlineStr">
        <is>
          <t>SPRINT 4 BURNDOWN CHART DATA</t>
        </is>
      </c>
    </row>
    <row r="2" ht="28" customHeight="1">
      <c r="A2" s="15" t="inlineStr">
        <is>
          <t>Day</t>
        </is>
      </c>
      <c r="B2" s="15" t="inlineStr">
        <is>
          <t>Date</t>
        </is>
      </c>
      <c r="C2" s="15" t="inlineStr">
        <is>
          <t>Ideal Remaining (pts)</t>
        </is>
      </c>
      <c r="D2" s="15" t="inlineStr">
        <is>
          <t>Actual Remaining (pts)</t>
        </is>
      </c>
      <c r="E2" s="15" t="inlineStr">
        <is>
          <t>Completed Today</t>
        </is>
      </c>
      <c r="F2" s="15" t="inlineStr">
        <is>
          <t>Cumulative Completed</t>
        </is>
      </c>
    </row>
    <row r="3" ht="18" customHeight="1">
      <c r="A3" s="51" t="n">
        <v>0</v>
      </c>
      <c r="B3" s="51" t="inlineStr">
        <is>
          <t>19-May</t>
        </is>
      </c>
      <c r="C3" s="51" t="n">
        <v>50</v>
      </c>
      <c r="D3" s="51" t="n">
        <v>50</v>
      </c>
      <c r="E3" s="51" t="n">
        <v>0</v>
      </c>
      <c r="F3" s="51" t="n">
        <v>0</v>
      </c>
    </row>
    <row r="4" ht="18" customHeight="1">
      <c r="A4" s="52" t="n">
        <v>1</v>
      </c>
      <c r="B4" s="52" t="inlineStr">
        <is>
          <t>20-May</t>
        </is>
      </c>
      <c r="C4" s="52" t="n">
        <v>45</v>
      </c>
      <c r="D4" s="52" t="n">
        <v>47</v>
      </c>
      <c r="E4" s="52" t="n">
        <v>3</v>
      </c>
      <c r="F4" s="52">
        <f>IF(E4&lt;&gt;"",SUM($E$3:E4),"")</f>
        <v/>
      </c>
    </row>
    <row r="5" ht="18" customHeight="1">
      <c r="A5" s="51" t="n">
        <v>2</v>
      </c>
      <c r="B5" s="51" t="inlineStr">
        <is>
          <t>21-May</t>
        </is>
      </c>
      <c r="C5" s="51" t="n">
        <v>40</v>
      </c>
      <c r="D5" s="51" t="n">
        <v>42</v>
      </c>
      <c r="E5" s="51" t="n">
        <v>5</v>
      </c>
      <c r="F5" s="51">
        <f>IF(E5&lt;&gt;"",SUM($E$3:E5),"")</f>
        <v/>
      </c>
    </row>
    <row r="6" ht="18" customHeight="1">
      <c r="A6" s="52" t="n">
        <v>3</v>
      </c>
      <c r="B6" s="52" t="inlineStr">
        <is>
          <t>22-May</t>
        </is>
      </c>
      <c r="C6" s="52" t="n">
        <v>35</v>
      </c>
      <c r="D6" s="52" t="n">
        <v>38</v>
      </c>
      <c r="E6" s="52" t="n">
        <v>4</v>
      </c>
      <c r="F6" s="52">
        <f>IF(E6&lt;&gt;"",SUM($E$3:E6),"")</f>
        <v/>
      </c>
    </row>
    <row r="7" ht="18" customHeight="1">
      <c r="A7" s="51" t="n">
        <v>4</v>
      </c>
      <c r="B7" s="51" t="inlineStr">
        <is>
          <t>23-May</t>
        </is>
      </c>
      <c r="C7" s="51" t="n">
        <v>30</v>
      </c>
      <c r="D7" s="51" t="n">
        <v>35</v>
      </c>
      <c r="E7" s="51" t="n">
        <v>3</v>
      </c>
      <c r="F7" s="51">
        <f>IF(E7&lt;&gt;"",SUM($E$3:E7),"")</f>
        <v/>
      </c>
    </row>
    <row r="8" ht="18" customHeight="1">
      <c r="A8" s="52" t="n">
        <v>5</v>
      </c>
      <c r="B8" s="52" t="inlineStr">
        <is>
          <t>26-May</t>
        </is>
      </c>
      <c r="C8" s="52" t="n">
        <v>25</v>
      </c>
      <c r="D8" s="52" t="n">
        <v>30</v>
      </c>
      <c r="E8" s="52" t="n">
        <v>5</v>
      </c>
      <c r="F8" s="52">
        <f>IF(E8&lt;&gt;"",SUM($E$3:E8),"")</f>
        <v/>
      </c>
    </row>
    <row r="9" ht="18" customHeight="1">
      <c r="A9" s="51" t="n">
        <v>6</v>
      </c>
      <c r="B9" s="51" t="inlineStr">
        <is>
          <t>27-May</t>
        </is>
      </c>
      <c r="C9" s="51" t="n">
        <v>20</v>
      </c>
      <c r="D9" s="51" t="n">
        <v>26</v>
      </c>
      <c r="E9" s="51" t="n">
        <v>4</v>
      </c>
      <c r="F9" s="51">
        <f>IF(E9&lt;&gt;"",SUM($E$3:E9),"")</f>
        <v/>
      </c>
    </row>
    <row r="10" ht="18" customHeight="1">
      <c r="A10" s="52" t="n">
        <v>7</v>
      </c>
      <c r="B10" s="52" t="inlineStr">
        <is>
          <t>28-May</t>
        </is>
      </c>
      <c r="C10" s="52" t="n">
        <v>15</v>
      </c>
      <c r="D10" s="52" t="n">
        <v>22</v>
      </c>
      <c r="E10" s="52" t="n">
        <v>4</v>
      </c>
      <c r="F10" s="52">
        <f>IF(E10&lt;&gt;"",SUM($E$3:E10),"")</f>
        <v/>
      </c>
    </row>
    <row r="11" ht="18" customHeight="1">
      <c r="A11" s="51" t="n">
        <v>8</v>
      </c>
      <c r="B11" s="51" t="inlineStr">
        <is>
          <t>29-May</t>
        </is>
      </c>
      <c r="C11" s="51" t="n">
        <v>10</v>
      </c>
      <c r="D11" s="51" t="n">
        <v>19</v>
      </c>
      <c r="E11" s="51" t="n">
        <v>3</v>
      </c>
      <c r="F11" s="51">
        <f>IF(E11&lt;&gt;"",SUM($E$3:E11),"")</f>
        <v/>
      </c>
    </row>
    <row r="12" ht="18" customHeight="1">
      <c r="A12" s="52" t="n">
        <v>9</v>
      </c>
      <c r="B12" s="52" t="inlineStr">
        <is>
          <t>30-May</t>
        </is>
      </c>
      <c r="C12" s="52" t="n">
        <v>5</v>
      </c>
      <c r="D12" s="52" t="n"/>
      <c r="E12" s="52" t="n"/>
      <c r="F12" s="52">
        <f>IF(E12&lt;&gt;"",SUM($E$3:E12),"")</f>
        <v/>
      </c>
    </row>
    <row r="13" ht="18" customHeight="1">
      <c r="A13" s="51" t="n">
        <v>10</v>
      </c>
      <c r="B13" s="51" t="inlineStr">
        <is>
          <t>02-Jun</t>
        </is>
      </c>
      <c r="C13" s="51" t="n">
        <v>0</v>
      </c>
      <c r="D13" s="51" t="n"/>
      <c r="E13" s="51" t="n"/>
      <c r="F13" s="51">
        <f>IF(E13&lt;&gt;"",SUM($E$3:E13),"")</f>
        <v/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8" customWidth="1" min="8" max="8"/>
  </cols>
  <sheetData>
    <row r="1" ht="26" customHeight="1">
      <c r="A1" s="50" t="inlineStr">
        <is>
          <t>TEAM VELOCITY TRACKER — ALL SPRINTS</t>
        </is>
      </c>
    </row>
    <row r="2" ht="28" customHeight="1">
      <c r="A2" s="15" t="inlineStr">
        <is>
          <t>Sprint</t>
        </is>
      </c>
      <c r="B2" s="15" t="inlineStr">
        <is>
          <t>Sprint Goal</t>
        </is>
      </c>
      <c r="C2" s="15" t="inlineStr">
        <is>
          <t>Committed (pts)</t>
        </is>
      </c>
      <c r="D2" s="15" t="inlineStr">
        <is>
          <t>Completed (pts)</t>
        </is>
      </c>
      <c r="E2" s="15" t="inlineStr">
        <is>
          <t>Velocity %</t>
        </is>
      </c>
      <c r="F2" s="15" t="inlineStr">
        <is>
          <t>Bugs Found</t>
        </is>
      </c>
      <c r="G2" s="15" t="inlineStr">
        <is>
          <t>Bugs Fixed</t>
        </is>
      </c>
      <c r="H2" s="15" t="inlineStr">
        <is>
          <t>Team Happiness (1-5)</t>
        </is>
      </c>
    </row>
    <row r="3" ht="20" customHeight="1">
      <c r="A3" s="53" t="inlineStr">
        <is>
          <t>Sprint 1</t>
        </is>
      </c>
      <c r="B3" s="54" t="inlineStr">
        <is>
          <t>User Auth &amp; Dashboard</t>
        </is>
      </c>
      <c r="C3" s="54" t="n">
        <v>38</v>
      </c>
      <c r="D3" s="54" t="n">
        <v>32</v>
      </c>
      <c r="E3" s="55">
        <f>D3/C3</f>
        <v/>
      </c>
      <c r="F3" s="54" t="n">
        <v>5</v>
      </c>
      <c r="G3" s="54" t="n">
        <v>5</v>
      </c>
      <c r="H3" s="54" t="n">
        <v>3.8</v>
      </c>
    </row>
    <row r="4" ht="20" customHeight="1">
      <c r="A4" s="53" t="inlineStr">
        <is>
          <t>Sprint 2</t>
        </is>
      </c>
      <c r="B4" s="56" t="inlineStr">
        <is>
          <t>CRM Core Features</t>
        </is>
      </c>
      <c r="C4" s="56" t="n">
        <v>45</v>
      </c>
      <c r="D4" s="56" t="n">
        <v>43</v>
      </c>
      <c r="E4" s="57">
        <f>D4/C4</f>
        <v/>
      </c>
      <c r="F4" s="56" t="n">
        <v>3</v>
      </c>
      <c r="G4" s="56" t="n">
        <v>3</v>
      </c>
      <c r="H4" s="56" t="n">
        <v>4</v>
      </c>
    </row>
    <row r="5" ht="20" customHeight="1">
      <c r="A5" s="53" t="inlineStr">
        <is>
          <t>Sprint 3</t>
        </is>
      </c>
      <c r="B5" s="54" t="inlineStr">
        <is>
          <t>Email &amp; Tasks</t>
        </is>
      </c>
      <c r="C5" s="54" t="n">
        <v>42</v>
      </c>
      <c r="D5" s="54" t="n">
        <v>40</v>
      </c>
      <c r="E5" s="55">
        <f>D5/C5</f>
        <v/>
      </c>
      <c r="F5" s="54" t="n">
        <v>4</v>
      </c>
      <c r="G5" s="54" t="n">
        <v>4</v>
      </c>
      <c r="H5" s="54" t="n">
        <v>4.1</v>
      </c>
    </row>
    <row r="6" ht="20" customHeight="1">
      <c r="A6" s="53" t="inlineStr">
        <is>
          <t>Sprint 4</t>
        </is>
      </c>
      <c r="B6" s="56" t="inlineStr">
        <is>
          <t>Security &amp; Perf</t>
        </is>
      </c>
      <c r="C6" s="56" t="n">
        <v>50</v>
      </c>
      <c r="D6" s="56">
        <f>COUNTIF('Sprint Dashboard'!E7:E16,"Done")*1</f>
        <v/>
      </c>
      <c r="E6" s="56" t="inlineStr">
        <is>
          <t>In Progress</t>
        </is>
      </c>
      <c r="F6" s="56" t="n">
        <v>2</v>
      </c>
      <c r="G6" s="56" t="n">
        <v>1</v>
      </c>
      <c r="H6" s="56" t="n">
        <v>4.2</v>
      </c>
    </row>
    <row r="7" ht="20" customHeight="1">
      <c r="A7" s="58" t="inlineStr">
        <is>
          <t>Average Velocity</t>
        </is>
      </c>
      <c r="C7" s="59">
        <f>AVERAGE(C3:C6)</f>
        <v/>
      </c>
      <c r="D7" s="59">
        <f>AVERAGE(D3:D5)</f>
        <v/>
      </c>
      <c r="E7" s="60">
        <f>AVERAGE(E3:E5)</f>
        <v/>
      </c>
      <c r="H7" s="61">
        <f>AVERAGE(H3:H6)</f>
        <v/>
      </c>
    </row>
  </sheetData>
  <mergeCells count="2">
    <mergeCell ref="A7:B7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32" customWidth="1" min="4" max="4"/>
    <col width="32" customWidth="1" min="5" max="5"/>
    <col width="32" customWidth="1" min="6" max="6"/>
    <col width="16" customWidth="1" min="7" max="7"/>
  </cols>
  <sheetData>
    <row r="1" ht="26" customHeight="1">
      <c r="A1" s="50" t="inlineStr">
        <is>
          <t>SPRINT RETROSPECTIVE LOG</t>
        </is>
      </c>
    </row>
    <row r="2" ht="28" customHeight="1">
      <c r="A2" s="15" t="inlineStr">
        <is>
          <t>Sprint</t>
        </is>
      </c>
      <c r="B2" s="15" t="inlineStr">
        <is>
          <t>Facilitator</t>
        </is>
      </c>
      <c r="C2" s="15" t="inlineStr">
        <is>
          <t>Date</t>
        </is>
      </c>
      <c r="D2" s="15" t="inlineStr">
        <is>
          <t>What Went Well</t>
        </is>
      </c>
      <c r="E2" s="15" t="inlineStr">
        <is>
          <t>What Didn't Go Well</t>
        </is>
      </c>
      <c r="F2" s="15" t="inlineStr">
        <is>
          <t>Action Items</t>
        </is>
      </c>
      <c r="G2" s="15" t="inlineStr">
        <is>
          <t>Owner</t>
        </is>
      </c>
    </row>
    <row r="3" ht="50" customHeight="1">
      <c r="A3" s="62" t="inlineStr">
        <is>
          <t>Sprint 1</t>
        </is>
      </c>
      <c r="B3" s="63" t="inlineStr">
        <is>
          <t>V. Suresh</t>
        </is>
      </c>
      <c r="C3" s="64" t="inlineStr">
        <is>
          <t>2026-05-02</t>
        </is>
      </c>
      <c r="D3" s="63" t="inlineStr">
        <is>
          <t>Team communication was excellent; daily standups kept everyone aligned</t>
        </is>
      </c>
      <c r="E3" s="63" t="inlineStr">
        <is>
          <t>Story points underestimated for auth module; spilled into Sprint 2</t>
        </is>
      </c>
      <c r="F3" s="63" t="inlineStr">
        <is>
          <t>Add buffer 20% to auth-related stories in future sprints</t>
        </is>
      </c>
      <c r="G3" s="63" t="inlineStr">
        <is>
          <t>T. Bauer</t>
        </is>
      </c>
    </row>
    <row r="4" ht="50" customHeight="1">
      <c r="A4" s="62" t="inlineStr">
        <is>
          <t>Sprint 2</t>
        </is>
      </c>
      <c r="B4" s="65" t="inlineStr">
        <is>
          <t>T. Bauer</t>
        </is>
      </c>
      <c r="C4" s="66" t="inlineStr">
        <is>
          <t>2026-05-16</t>
        </is>
      </c>
      <c r="D4" s="65" t="inlineStr">
        <is>
          <t>Pipeline Kanban shipped ahead of schedule; design-dev collaboration worked well</t>
        </is>
      </c>
      <c r="E4" s="65" t="inlineStr">
        <is>
          <t>Merge conflicts caused delays on day 3; branching strategy unclear</t>
        </is>
      </c>
      <c r="F4" s="65" t="inlineStr">
        <is>
          <t>Define Git branching conventions; document in team wiki by Sprint 3</t>
        </is>
      </c>
      <c r="G4" s="65" t="inlineStr">
        <is>
          <t>A. Müller</t>
        </is>
      </c>
    </row>
    <row r="5" ht="50" customHeight="1">
      <c r="A5" s="62" t="inlineStr">
        <is>
          <t>Sprint 3</t>
        </is>
      </c>
      <c r="B5" s="67" t="inlineStr">
        <is>
          <t>A. Müller</t>
        </is>
      </c>
      <c r="C5" s="68" t="inlineStr">
        <is>
          <t>2026-05-30</t>
        </is>
      </c>
      <c r="D5" s="67" t="inlineStr">
        <is>
          <t>Email integration was complex but delivered on time; great team effort</t>
        </is>
      </c>
      <c r="E5" s="67" t="inlineStr">
        <is>
          <t>Test coverage dropped below 80% due to time pressure</t>
        </is>
      </c>
      <c r="F5" s="67" t="inlineStr">
        <is>
          <t>Add test coverage check to Definition of Done; min 85% required</t>
        </is>
      </c>
      <c r="G5" s="67" t="inlineStr">
        <is>
          <t>K. Sharma</t>
        </is>
      </c>
    </row>
    <row r="6" ht="50" customHeight="1">
      <c r="A6" s="62" t="inlineStr">
        <is>
          <t>Sprint 4</t>
        </is>
      </c>
      <c r="B6" s="69" t="inlineStr">
        <is>
          <t>V. Suresh</t>
        </is>
      </c>
      <c r="C6" s="70" t="inlineStr">
        <is>
          <t>2026-06-13</t>
        </is>
      </c>
      <c r="D6" s="69" t="inlineStr">
        <is>
          <t>Performance improvements exceeded target; stakeholder demo went well</t>
        </is>
      </c>
      <c r="E6" s="69" t="inlineStr">
        <is>
          <t>US-037 blocked for 3 days due to dependency — not flagged early enough</t>
        </is>
      </c>
      <c r="F6" s="69" t="inlineStr">
        <is>
          <t>Flag blockers in standup within same day; update Blocked status immediately</t>
        </is>
      </c>
      <c r="G6" s="69" t="inlineStr">
        <is>
          <t>V. Suresh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 ht="26" customHeight="1">
      <c r="A1" s="71" t="inlineStr">
        <is>
          <t>VBA MACRO CODE — Copy these into Excel VBA Editor (Alt+F11) to enable automation</t>
        </is>
      </c>
    </row>
    <row r="3" ht="18" customHeight="1">
      <c r="A3" s="72" t="inlineStr">
        <is>
          <t>MACRO 1 — Auto-Update Status Colours</t>
        </is>
      </c>
    </row>
    <row r="4" ht="286" customHeight="1">
      <c r="A4" s="73" t="inlineStr">
        <is>
          <t>Sub UpdateStatusColours()
    Dim ws As Worksheet
    Dim rng As Range, cell As Range
    Set ws = Sheets("Sprint Dashboard")
    Set rng = ws.Range("E7:E50")
    For Each cell In rng
        If cell.Value = "Done" Then
            cell.Interior.Color = RGB(226, 239, 218)
            cell.Font.Color = RGB(112, 173, 71)
        ElseIf cell.Value = "In Progress" Then
            cell.Interior.Color = RGB(255, 242, 204)
            cell.Font.Color = RGB(237, 125, 49)
        ElseIf cell.Value = "Blocked" Then
            cell.Interior.Color = RGB(255, 224, 224)
            cell.Font.Color = RGB(255, 68, 68)
        ElseIf cell.Value = "To Do" Then
            cell.Interior.Color = RGB(242, 242, 242)
            cell.Font.Color = RGB(89, 89, 89)
        End If
    Next cell
    MsgBox "Status colours updated!", vbInformation
End Sub</t>
        </is>
      </c>
    </row>
    <row r="6" ht="18" customHeight="1">
      <c r="A6" s="72" t="inlineStr">
        <is>
          <t>MACRO 2 — Move Done Stories to Archive</t>
        </is>
      </c>
    </row>
    <row r="7" ht="351" customHeight="1">
      <c r="A7" s="73" t="inlineStr">
        <is>
          <t>Sub ArchiveDoneStories()
    Dim wsSrc As Worksheet, wsDst As Worksheet
    Dim lastRow As Long, i As Long, archRow As Long
    Set wsSrc = Sheets("Sprint Dashboard")
    ' Create Archive sheet if it doesn't exist
    On Error Resume Next
    Set wsDst = Sheets("Archive")
    On Error GoTo 0
    If wsDst Is Nothing Then
        Set wsDst = Sheets.Add(After:=Sheets(Sheets.Count))
        wsDst.Name = "Archive"
        wsDst.Rows(1).Value = wsSrc.Rows(6).Value
    End If
    lastRow = wsSrc.Cells(wsSrc.Rows.Count, "A").End(xlUp).Row
    archRow = wsDst.Cells(wsDst.Rows.Count, "A").End(xlUp).Row + 1
    For i = lastRow To 7 Step -1
        If wsSrc.Cells(i, 5).Value = "Done" Then
            wsSrc.Rows(i).Copy wsDst.Rows(archRow)
            wsSrc.Rows(i).Delete
            archRow = archRow + 1
        End If
    Next i
    MsgBox "Done stories archived!", vbInformation
End Sub</t>
        </is>
      </c>
    </row>
    <row r="9" ht="18" customHeight="1">
      <c r="A9" s="72" t="inlineStr">
        <is>
          <t>MACRO 3 — Generate Sprint Summary Report</t>
        </is>
      </c>
    </row>
    <row r="10" ht="247" customHeight="1">
      <c r="A10" s="73" t="inlineStr">
        <is>
          <t>Sub GenerateSprintSummary()
    Dim ws As Worksheet, rpt As Worksheet
    Dim done As Long, inProg As Long, blocked As Long, toDo As Long
    Set ws = Sheets("Sprint Dashboard")
    done    = WorksheetFunction.CountIf(ws.Range("E7:E50"), "Done")
    inProg  = WorksheetFunction.CountIf(ws.Range("E7:E50"), "In Progress")
    blocked = WorksheetFunction.CountIf(ws.Range("E7:E50"), "Blocked")
    toDo    = WorksheetFunction.CountIf(ws.Range("E7:E50"), "To Do")
    Dim msg As String
    msg = "=== SPRINT SUMMARY ===" &amp; vbCrLf &amp; vbCrLf
    msg = msg &amp; "Done:        " &amp; done &amp; " stories" &amp; vbCrLf
    msg = msg &amp; "In Progress: " &amp; inProg &amp; " stories" &amp; vbCrLf
    msg = msg &amp; "Blocked:     " &amp; blocked &amp; " stories" &amp; vbCrLf
    msg = msg &amp; "To Do:       " &amp; toDo &amp; " stories" &amp; vbCrLf &amp; vbCrLf
    msg = msg &amp; "Completion:  " &amp; Format(done / (done + inProg + blocked + toDo), "0%")
    MsgBox msg, vbInformation, "Sprint Status Report"
End Sub</t>
        </is>
      </c>
    </row>
    <row r="12" ht="18" customHeight="1">
      <c r="A12" s="72" t="inlineStr">
        <is>
          <t>MACRO 4 — Highlight Overdue Stories</t>
        </is>
      </c>
    </row>
    <row r="13" ht="221" customHeight="1">
      <c r="A13" s="73" t="inlineStr">
        <is>
          <t>Sub HighlightOverdue()
    Dim ws As Worksheet, cell As Range
    Dim today As Date
    today = Date
    Set ws = Sheets("Sprint Dashboard")
    Dim rng As Range
    Set rng = ws.Range("I7:I50") ' End Date column
    For Each cell In rng
        If cell.Value &lt;&gt; "" And cell.Value &lt; today Then
            If ws.Cells(cell.Row, 5).Value &lt;&gt; "Done" Then
                ws.Rows(cell.Row).Interior.Color = RGB(255, 220, 220)
            End If
        End If
    Next cell
    MsgBox "Overdue stories highlighted in red!", vbInformation
End Sub</t>
        </is>
      </c>
    </row>
    <row r="15" ht="18" customHeight="1">
      <c r="A15" s="72" t="inlineStr">
        <is>
          <t>HOW TO USE VBA IN THIS FILE</t>
        </is>
      </c>
    </row>
    <row r="16" ht="299" customHeight="1">
      <c r="A16" s="73" t="inlineStr">
        <is>
          <t>1. Save this file as .xlsm (Excel Macro-Enabled Workbook)
   File &gt; Save As &gt; choose 'Excel Macro-Enabled Workbook (*.xlsm)'
2. Open the VBA Editor
   Press Alt + F11 (Windows) or Option + F11 (Mac)
3. Insert a Module
   In VBA Editor: Insert &gt; Module
4. Paste any macro from above into the module
5. Run a macro
   Press F5 while cursor is inside the macro, or
   Go to Developer tab &gt; Macros &gt; select macro &gt; Run
6. Add buttons to the dashboard
   Developer tab &gt; Insert &gt; Button (Form Control)
   Draw the button, assign the macro when prompted
   Suggested buttons to add to Sprint Dashboard:
   - [Update Colours]  → UpdateStatusColours
   - [Archive Done]    → ArchiveDoneStories
   - [Sprint Report]   → GenerateSprintSummary
   - [Flag Overdue]    → HighlightOverdue</t>
        </is>
      </c>
    </row>
  </sheetData>
  <mergeCells count="11">
    <mergeCell ref="A4:B4"/>
    <mergeCell ref="A16:B16"/>
    <mergeCell ref="A15:B15"/>
    <mergeCell ref="A7:B7"/>
    <mergeCell ref="A10:B10"/>
    <mergeCell ref="A13:B13"/>
    <mergeCell ref="A1:B1"/>
    <mergeCell ref="A9:B9"/>
    <mergeCell ref="A3:B3"/>
    <mergeCell ref="A6:B6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2026-06-04T17:21:16Z</dcterms:created>
  <dcterms:modified xmlns:dcterms="http://purl.org/dc/terms/" xmlns:xsi="http://www.w3.org/2001/XMLSchema-instance" xsi:type="dcterms:W3CDTF">2026-06-04T17:21:16Z</dcterms:modified>
</cp:coreProperties>
</file>