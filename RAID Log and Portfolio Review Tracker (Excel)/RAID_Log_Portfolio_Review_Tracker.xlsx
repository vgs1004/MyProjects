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D Log" sheetId="1" state="visible" r:id="rId1"/>
    <sheet name="Monthly Review Summary" sheetId="2" state="visible" r:id="rId2"/>
  </sheets>
  <definedNames>
    <definedName name="_xlnm._FilterDatabase" localSheetId="0" hidden="1">'RAID Log'!$A$1:$I$56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3A332C"/>
      <sz val="16"/>
    </font>
    <font>
      <color rgb="008A7F73"/>
      <sz val="10"/>
    </font>
    <font>
      <b val="1"/>
      <color rgb="006B5B73"/>
      <sz val="20"/>
    </font>
    <font>
      <b val="1"/>
      <color rgb="003A332C"/>
      <sz val="12"/>
    </font>
    <font>
      <b val="1"/>
      <color rgb="003A332C"/>
    </font>
    <font>
      <color rgb="008C4B3A"/>
    </font>
  </fonts>
  <fills count="5">
    <fill>
      <patternFill/>
    </fill>
    <fill>
      <patternFill patternType="gray125"/>
    </fill>
    <fill>
      <patternFill patternType="solid">
        <fgColor rgb="003A332C"/>
      </patternFill>
    </fill>
    <fill>
      <patternFill patternType="solid">
        <fgColor rgb="00F4EFE7"/>
      </patternFill>
    </fill>
    <fill>
      <patternFill patternType="solid">
        <fgColor rgb="00F0DCD6"/>
      </patternFill>
    </fill>
  </fills>
  <borders count="2">
    <border>
      <left/>
      <right/>
      <top/>
      <bottom/>
      <diagonal/>
    </border>
    <border>
      <left style="thin">
        <color rgb="00E1D6C4"/>
      </left>
      <right style="thin">
        <color rgb="00E1D6C4"/>
      </right>
      <top style="thin">
        <color rgb="00E1D6C4"/>
      </top>
      <bottom style="thin">
        <color rgb="00E1D6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164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0" pivotButton="0" quotePrefix="0" xfId="0"/>
    <xf numFmtId="0" fontId="6" fillId="3" borderId="0" pivotButton="0" quotePrefix="0" xfId="0"/>
    <xf numFmtId="0" fontId="1" fillId="2" borderId="0" pivotButton="0" quotePrefix="0" xfId="0"/>
    <xf numFmtId="0" fontId="7" fillId="4" borderId="0" pivotButton="0" quotePrefix="0" xfId="0"/>
  </cellXfs>
  <cellStyles count="1">
    <cellStyle name="Normal" xfId="0" builtinId="0" hidden="0"/>
  </cellStyles>
  <dxfs count="4">
    <dxf>
      <font>
        <color rgb="008C4B3A"/>
      </font>
      <fill>
        <patternFill patternType="solid">
          <fgColor rgb="00F0DCD6"/>
        </patternFill>
      </fill>
    </dxf>
    <dxf>
      <font>
        <color rgb="008C6A22"/>
      </font>
      <fill>
        <patternFill patternType="solid">
          <fgColor rgb="00F5E7C9"/>
        </patternFill>
      </fill>
    </dxf>
    <dxf>
      <font>
        <color rgb="004B6142"/>
      </font>
      <fill>
        <patternFill patternType="solid">
          <fgColor rgb="00DCE7D2"/>
        </patternFill>
      </fill>
    </dxf>
    <dxf>
      <font>
        <b val="1"/>
        <color rgb="008C4B3A"/>
      </font>
      <fill>
        <patternFill patternType="solid">
          <fgColor rgb="00F0DC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Items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Review Summary'!C9</f>
            </strRef>
          </tx>
          <spPr>
            <a:solidFill>
              <a:srgbClr val="6B5B73"/>
            </a:solidFill>
            <a:ln>
              <a:prstDash val="solid"/>
            </a:ln>
          </spPr>
          <cat>
            <numRef>
              <f>'Monthly Review Summary'!$B$10:$B$13</f>
            </numRef>
          </cat>
          <val>
            <numRef>
              <f>'Monthly Review Summary'!$C$10:$C$13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Items by Impact</a:t>
            </a:r>
          </a:p>
        </rich>
      </tx>
    </title>
    <plotArea>
      <pieChart>
        <varyColors val="1"/>
        <ser>
          <idx val="0"/>
          <order val="0"/>
          <tx>
            <strRef>
              <f>'Monthly Review Summary'!G9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8C4B3A"/>
              </a:solidFill>
              <a:ln>
                <a:prstDash val="solid"/>
              </a:ln>
            </spPr>
          </dPt>
          <dPt>
            <idx val="1"/>
            <spPr>
              <a:solidFill>
                <a:srgbClr val="8C6A22"/>
              </a:solidFill>
              <a:ln>
                <a:prstDash val="solid"/>
              </a:ln>
            </spPr>
          </dPt>
          <dPt>
            <idx val="2"/>
            <spPr>
              <a:solidFill>
                <a:srgbClr val="4B6142"/>
              </a:solidFill>
              <a:ln>
                <a:prstDash val="solid"/>
              </a:ln>
            </spPr>
          </dPt>
          <cat>
            <numRef>
              <f>'Monthly Review Summary'!$F$10:$F$12</f>
            </numRef>
          </cat>
          <val>
            <numRef>
              <f>'Monthly Review Summary'!$G$10:$G$12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14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4" customWidth="1" min="4" max="4"/>
    <col width="9" customWidth="1" min="5" max="5"/>
    <col width="11" customWidth="1" min="6" max="6"/>
    <col width="9" customWidth="1" min="7" max="7"/>
    <col width="12" customWidth="1" min="8" max="8"/>
    <col width="42" customWidth="1" min="9" max="9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Likelihood</t>
        </is>
      </c>
      <c r="G1" s="1" t="inlineStr">
        <is>
          <t>Status</t>
        </is>
      </c>
      <c r="H1" s="1" t="inlineStr">
        <is>
          <t>DateRaised</t>
        </is>
      </c>
      <c r="I1" s="1" t="inlineStr">
        <is>
          <t>Mitigation / Action</t>
        </is>
      </c>
    </row>
    <row r="2">
      <c r="A2" t="inlineStr">
        <is>
          <t>RAID-001</t>
        </is>
      </c>
      <c r="B2" t="inlineStr">
        <is>
          <t>Risk</t>
        </is>
      </c>
      <c r="C2" s="2" t="inlineStr">
        <is>
          <t>Insufficient testing window identified for master data cleanup</t>
        </is>
      </c>
      <c r="D2" t="inlineStr">
        <is>
          <t>M. Choudhury</t>
        </is>
      </c>
      <c r="E2" t="inlineStr">
        <is>
          <t>Low</t>
        </is>
      </c>
      <c r="F2" t="inlineStr">
        <is>
          <t>Low</t>
        </is>
      </c>
      <c r="G2" t="inlineStr">
        <is>
          <t>Open</t>
        </is>
      </c>
      <c r="H2" s="3" t="n">
        <v>45901</v>
      </c>
      <c r="I2" s="2" t="inlineStr">
        <is>
          <t>Contingency budget reserved; reviewing weekly</t>
        </is>
      </c>
    </row>
    <row r="3">
      <c r="A3" t="inlineStr">
        <is>
          <t>RAID-002</t>
        </is>
      </c>
      <c r="B3" t="inlineStr">
        <is>
          <t>Risk</t>
        </is>
      </c>
      <c r="C3" s="2" t="inlineStr">
        <is>
          <t>translation and localization may slip past the committed date without an earlier decision point</t>
        </is>
      </c>
      <c r="D3" t="inlineStr">
        <is>
          <t>A. Mehta</t>
        </is>
      </c>
      <c r="E3" t="inlineStr">
        <is>
          <t>High</t>
        </is>
      </c>
      <c r="F3" t="inlineStr">
        <is>
          <t>Low</t>
        </is>
      </c>
      <c r="G3" t="inlineStr">
        <is>
          <t>Closed</t>
        </is>
      </c>
      <c r="H3" s="3" t="n">
        <v>45877</v>
      </c>
      <c r="I3" s="2" t="inlineStr">
        <is>
          <t>Added buffer to the schedule and flagged to steering committee</t>
        </is>
      </c>
    </row>
    <row r="4">
      <c r="A4" t="inlineStr">
        <is>
          <t>RAID-003</t>
        </is>
      </c>
      <c r="B4" t="inlineStr">
        <is>
          <t>Dependency</t>
        </is>
      </c>
      <c r="C4" s="2" t="inlineStr">
        <is>
          <t>regional data center migration is blocked on infrastructure provisioning from IT Ops</t>
        </is>
      </c>
      <c r="D4" t="inlineStr">
        <is>
          <t>P. Osei</t>
        </is>
      </c>
      <c r="E4" t="inlineStr">
        <is>
          <t>Medium</t>
        </is>
      </c>
      <c r="F4" t="inlineStr">
        <is>
          <t>High</t>
        </is>
      </c>
      <c r="G4" t="inlineStr">
        <is>
          <t>Open</t>
        </is>
      </c>
      <c r="H4" s="3" t="n">
        <v>45826</v>
      </c>
      <c r="I4" s="2" t="inlineStr">
        <is>
          <t>Contract finance team engaged to expedite</t>
        </is>
      </c>
    </row>
    <row r="5">
      <c r="A5" t="inlineStr">
        <is>
          <t>RAID-004</t>
        </is>
      </c>
      <c r="B5" t="inlineStr">
        <is>
          <t>Risk</t>
        </is>
      </c>
      <c r="C5" s="2" t="inlineStr">
        <is>
          <t>Possible delay to staff augmentation ramp-up due to resourcing constraints</t>
        </is>
      </c>
      <c r="D5" t="inlineStr">
        <is>
          <t>S. Iyer</t>
        </is>
      </c>
      <c r="E5" t="inlineStr">
        <is>
          <t>Low</t>
        </is>
      </c>
      <c r="F5" t="inlineStr">
        <is>
          <t>High</t>
        </is>
      </c>
      <c r="G5" t="inlineStr">
        <is>
          <t>Closed</t>
        </is>
      </c>
      <c r="H5" s="3" t="n">
        <v>45668</v>
      </c>
      <c r="I5" s="2" t="inlineStr">
        <is>
          <t>Contingency budget reserved; reviewing weekly</t>
        </is>
      </c>
    </row>
    <row r="6">
      <c r="A6" t="inlineStr">
        <is>
          <t>RAID-005</t>
        </is>
      </c>
      <c r="B6" t="inlineStr">
        <is>
          <t>Issue</t>
        </is>
      </c>
      <c r="C6" s="2" t="inlineStr">
        <is>
          <t>Data quality problems surfaced during disaster recovery failover test</t>
        </is>
      </c>
      <c r="D6" t="inlineStr">
        <is>
          <t>S. Iyer</t>
        </is>
      </c>
      <c r="E6" t="inlineStr">
        <is>
          <t>High</t>
        </is>
      </c>
      <c r="F6" t="inlineStr">
        <is>
          <t>High</t>
        </is>
      </c>
      <c r="G6" t="inlineStr">
        <is>
          <t>Closed</t>
        </is>
      </c>
      <c r="H6" s="3" t="n">
        <v>45778</v>
      </c>
      <c r="I6" s="2" t="inlineStr">
        <is>
          <t>Vendor engaged with a 48-hour response SLA</t>
        </is>
      </c>
    </row>
    <row r="7">
      <c r="A7" t="inlineStr">
        <is>
          <t>RAID-006</t>
        </is>
      </c>
      <c r="B7" t="inlineStr">
        <is>
          <t>Risk</t>
        </is>
      </c>
      <c r="C7" s="2" t="inlineStr">
        <is>
          <t>Possible delay to budget approval for Phase 2 due to resourcing constraints</t>
        </is>
      </c>
      <c r="D7" t="inlineStr">
        <is>
          <t>R. Fernandes</t>
        </is>
      </c>
      <c r="E7" t="inlineStr">
        <is>
          <t>Medium</t>
        </is>
      </c>
      <c r="F7" t="inlineStr">
        <is>
          <t>Medium</t>
        </is>
      </c>
      <c r="G7" t="inlineStr">
        <is>
          <t>Closed</t>
        </is>
      </c>
      <c r="H7" s="3" t="n">
        <v>45856</v>
      </c>
      <c r="I7" s="2" t="inlineStr">
        <is>
          <t>Added buffer to the schedule and flagged to steering committee</t>
        </is>
      </c>
    </row>
    <row r="8">
      <c r="A8" t="inlineStr">
        <is>
          <t>RAID-007</t>
        </is>
      </c>
      <c r="B8" t="inlineStr">
        <is>
          <t>Dependency</t>
        </is>
      </c>
      <c r="C8" s="2" t="inlineStr">
        <is>
          <t>master data cleanup is blocked on infrastructure provisioning from IT Ops</t>
        </is>
      </c>
      <c r="D8" t="inlineStr">
        <is>
          <t>L. Duarte</t>
        </is>
      </c>
      <c r="E8" t="inlineStr">
        <is>
          <t>Low</t>
        </is>
      </c>
      <c r="F8" t="inlineStr">
        <is>
          <t>Medium</t>
        </is>
      </c>
      <c r="G8" t="inlineStr">
        <is>
          <t>Open</t>
        </is>
      </c>
      <c r="H8" s="3" t="n">
        <v>45820</v>
      </c>
      <c r="I8" s="2" t="inlineStr">
        <is>
          <t>Escalated to PMO for cross-team prioritization</t>
        </is>
      </c>
    </row>
    <row r="9">
      <c r="A9" t="inlineStr">
        <is>
          <t>RAID-008</t>
        </is>
      </c>
      <c r="B9" t="inlineStr">
        <is>
          <t>Risk</t>
        </is>
      </c>
      <c r="C9" s="2" t="inlineStr">
        <is>
          <t>customer authentication flow may slip past the committed date without an earlier decision point</t>
        </is>
      </c>
      <c r="D9" t="inlineStr">
        <is>
          <t>M. Choudhury</t>
        </is>
      </c>
      <c r="E9" t="inlineStr">
        <is>
          <t>High</t>
        </is>
      </c>
      <c r="F9" t="inlineStr">
        <is>
          <t>High</t>
        </is>
      </c>
      <c r="G9" t="inlineStr">
        <is>
          <t>Open</t>
        </is>
      </c>
      <c r="H9" s="3" t="n">
        <v>45925</v>
      </c>
      <c r="I9" s="2" t="inlineStr">
        <is>
          <t>Contingency budget reserved; reviewing weekly</t>
        </is>
      </c>
    </row>
    <row r="10">
      <c r="A10" t="inlineStr">
        <is>
          <t>RAID-009</t>
        </is>
      </c>
      <c r="B10" t="inlineStr">
        <is>
          <t>Risk</t>
        </is>
      </c>
      <c r="C10" s="2" t="inlineStr">
        <is>
          <t>Possible delay to key resource availability due to resourcing constraints</t>
        </is>
      </c>
      <c r="D10" t="inlineStr">
        <is>
          <t>S. Iyer</t>
        </is>
      </c>
      <c r="E10" t="inlineStr">
        <is>
          <t>Medium</t>
        </is>
      </c>
      <c r="F10" t="inlineStr">
        <is>
          <t>Medium</t>
        </is>
      </c>
      <c r="G10" t="inlineStr">
        <is>
          <t>Closed</t>
        </is>
      </c>
      <c r="H10" s="3" t="n">
        <v>45828</v>
      </c>
      <c r="I10" s="2" t="inlineStr">
        <is>
          <t>Contingency budget reserved; reviewing weekly</t>
        </is>
      </c>
    </row>
    <row r="11">
      <c r="A11" t="inlineStr">
        <is>
          <t>RAID-010</t>
        </is>
      </c>
      <c r="B11" t="inlineStr">
        <is>
          <t>Dependency</t>
        </is>
      </c>
      <c r="C11" s="2" t="inlineStr">
        <is>
          <t>single sign-on rollout depends on a sign-off from a separate workstream</t>
        </is>
      </c>
      <c r="D11" t="inlineStr">
        <is>
          <t>S. Iyer</t>
        </is>
      </c>
      <c r="E11" t="inlineStr">
        <is>
          <t>High</t>
        </is>
      </c>
      <c r="F11" t="inlineStr">
        <is>
          <t>Low</t>
        </is>
      </c>
      <c r="G11" t="inlineStr">
        <is>
          <t>Open</t>
        </is>
      </c>
      <c r="H11" s="3" t="n">
        <v>45877</v>
      </c>
      <c r="I11" s="2" t="inlineStr">
        <is>
          <t>Contract finance team engaged to expedite</t>
        </is>
      </c>
    </row>
    <row r="12">
      <c r="A12" t="inlineStr">
        <is>
          <t>RAID-011</t>
        </is>
      </c>
      <c r="B12" t="inlineStr">
        <is>
          <t>Risk</t>
        </is>
      </c>
      <c r="C12" s="2" t="inlineStr">
        <is>
          <t>translation and localization may slip past the committed date without an earlier decision point</t>
        </is>
      </c>
      <c r="D12" t="inlineStr">
        <is>
          <t>P. Osei</t>
        </is>
      </c>
      <c r="E12" t="inlineStr">
        <is>
          <t>Low</t>
        </is>
      </c>
      <c r="F12" t="inlineStr">
        <is>
          <t>High</t>
        </is>
      </c>
      <c r="G12" t="inlineStr">
        <is>
          <t>Open</t>
        </is>
      </c>
      <c r="H12" s="3" t="n">
        <v>45665</v>
      </c>
      <c r="I12" s="2" t="inlineStr">
        <is>
          <t>Escalated to sponsor for an early go/no-go decision</t>
        </is>
      </c>
    </row>
    <row r="13">
      <c r="A13" t="inlineStr">
        <is>
          <t>RAID-012</t>
        </is>
      </c>
      <c r="B13" t="inlineStr">
        <is>
          <t>Issue</t>
        </is>
      </c>
      <c r="C13" s="2" t="inlineStr">
        <is>
          <t>Defects found during single sign-on rollout are delaying sign-off</t>
        </is>
      </c>
      <c r="D13" t="inlineStr">
        <is>
          <t>S. Iyer</t>
        </is>
      </c>
      <c r="E13" t="inlineStr">
        <is>
          <t>Medium</t>
        </is>
      </c>
      <c r="F13" t="inlineStr">
        <is>
          <t>Medium</t>
        </is>
      </c>
      <c r="G13" t="inlineStr">
        <is>
          <t>Open</t>
        </is>
      </c>
      <c r="H13" s="3" t="n">
        <v>45866</v>
      </c>
      <c r="I13" s="2" t="inlineStr">
        <is>
          <t>Fix scheduled for next release; workaround in place</t>
        </is>
      </c>
    </row>
    <row r="14">
      <c r="A14" t="inlineStr">
        <is>
          <t>RAID-013</t>
        </is>
      </c>
      <c r="B14" t="inlineStr">
        <is>
          <t>Risk</t>
        </is>
      </c>
      <c r="C14" s="2" t="inlineStr">
        <is>
          <t>Possible delay to payment gateway certification due to resourcing constraints</t>
        </is>
      </c>
      <c r="D14" t="inlineStr">
        <is>
          <t>J. Ncube</t>
        </is>
      </c>
      <c r="E14" t="inlineStr">
        <is>
          <t>Medium</t>
        </is>
      </c>
      <c r="F14" t="inlineStr">
        <is>
          <t>High</t>
        </is>
      </c>
      <c r="G14" t="inlineStr">
        <is>
          <t>Closed</t>
        </is>
      </c>
      <c r="H14" s="3" t="n">
        <v>45785</v>
      </c>
      <c r="I14" s="2" t="inlineStr">
        <is>
          <t>Added buffer to the schedule and flagged to steering committee</t>
        </is>
      </c>
    </row>
    <row r="15">
      <c r="A15" t="inlineStr">
        <is>
          <t>RAID-014</t>
        </is>
      </c>
      <c r="B15" t="inlineStr">
        <is>
          <t>Dependency</t>
        </is>
      </c>
      <c r="C15" s="2" t="inlineStr">
        <is>
          <t>legacy database decommission depends on a sign-off from a separate workstream</t>
        </is>
      </c>
      <c r="D15" t="inlineStr">
        <is>
          <t>M. Choudhury</t>
        </is>
      </c>
      <c r="E15" t="inlineStr">
        <is>
          <t>High</t>
        </is>
      </c>
      <c r="F15" t="inlineStr">
        <is>
          <t>High</t>
        </is>
      </c>
      <c r="G15" t="inlineStr">
        <is>
          <t>Open</t>
        </is>
      </c>
      <c r="H15" s="3" t="n">
        <v>45927</v>
      </c>
      <c r="I15" s="2" t="inlineStr">
        <is>
          <t>Escalated to PMO for cross-team prioritization</t>
        </is>
      </c>
    </row>
    <row r="16">
      <c r="A16" t="inlineStr">
        <is>
          <t>RAID-015</t>
        </is>
      </c>
      <c r="B16" t="inlineStr">
        <is>
          <t>Risk</t>
        </is>
      </c>
      <c r="C16" s="2" t="inlineStr">
        <is>
          <t>Insufficient testing window identified for peak-season load testing</t>
        </is>
      </c>
      <c r="D16" t="inlineStr">
        <is>
          <t>S. Iyer</t>
        </is>
      </c>
      <c r="E16" t="inlineStr">
        <is>
          <t>Low</t>
        </is>
      </c>
      <c r="F16" t="inlineStr">
        <is>
          <t>Medium</t>
        </is>
      </c>
      <c r="G16" t="inlineStr">
        <is>
          <t>Open</t>
        </is>
      </c>
      <c r="H16" s="3" t="n">
        <v>45876</v>
      </c>
      <c r="I16" s="2" t="inlineStr">
        <is>
          <t>Escalated to sponsor for an early go/no-go decision</t>
        </is>
      </c>
    </row>
    <row r="17">
      <c r="A17" t="inlineStr">
        <is>
          <t>RAID-016</t>
        </is>
      </c>
      <c r="B17" t="inlineStr">
        <is>
          <t>Risk</t>
        </is>
      </c>
      <c r="C17" s="2" t="inlineStr">
        <is>
          <t>Insufficient testing window identified for change freeze period</t>
        </is>
      </c>
      <c r="D17" t="inlineStr">
        <is>
          <t>S. Iyer</t>
        </is>
      </c>
      <c r="E17" t="inlineStr">
        <is>
          <t>Low</t>
        </is>
      </c>
      <c r="F17" t="inlineStr">
        <is>
          <t>High</t>
        </is>
      </c>
      <c r="G17" t="inlineStr">
        <is>
          <t>Open</t>
        </is>
      </c>
      <c r="H17" s="3" t="n">
        <v>45722</v>
      </c>
      <c r="I17" s="2" t="inlineStr">
        <is>
          <t>Added buffer to the schedule and flagged to steering committee</t>
        </is>
      </c>
    </row>
    <row r="18">
      <c r="A18" t="inlineStr">
        <is>
          <t>RAID-017</t>
        </is>
      </c>
      <c r="B18" t="inlineStr">
        <is>
          <t>Risk</t>
        </is>
      </c>
      <c r="C18" s="2" t="inlineStr">
        <is>
          <t>regulatory reporting deadline may slip past the committed date without an earlier decision point</t>
        </is>
      </c>
      <c r="D18" t="inlineStr">
        <is>
          <t>N. Kowalski</t>
        </is>
      </c>
      <c r="E18" t="inlineStr">
        <is>
          <t>Medium</t>
        </is>
      </c>
      <c r="F18" t="inlineStr">
        <is>
          <t>Medium</t>
        </is>
      </c>
      <c r="G18" t="inlineStr">
        <is>
          <t>Closed</t>
        </is>
      </c>
      <c r="H18" s="3" t="n">
        <v>45728</v>
      </c>
      <c r="I18" s="2" t="inlineStr">
        <is>
          <t>Added buffer to the schedule and flagged to steering committee</t>
        </is>
      </c>
    </row>
    <row r="19">
      <c r="A19" t="inlineStr">
        <is>
          <t>RAID-018</t>
        </is>
      </c>
      <c r="B19" t="inlineStr">
        <is>
          <t>Assumption</t>
        </is>
      </c>
      <c r="C19" s="2" t="inlineStr">
        <is>
          <t>Assuming cross-border data residency completes on the vendor's published timeline</t>
        </is>
      </c>
      <c r="D19" t="inlineStr">
        <is>
          <t>M. Choudhury</t>
        </is>
      </c>
      <c r="E19" t="inlineStr">
        <is>
          <t>Low</t>
        </is>
      </c>
      <c r="F19" t="inlineStr">
        <is>
          <t>High</t>
        </is>
      </c>
      <c r="G19" t="inlineStr">
        <is>
          <t>Closed</t>
        </is>
      </c>
      <c r="H19" s="3" t="n">
        <v>45718</v>
      </c>
      <c r="I19" s="2" t="inlineStr">
        <is>
          <t>Validated with vendor in writing</t>
        </is>
      </c>
    </row>
    <row r="20">
      <c r="A20" t="inlineStr">
        <is>
          <t>RAID-019</t>
        </is>
      </c>
      <c r="B20" t="inlineStr">
        <is>
          <t>Risk</t>
        </is>
      </c>
      <c r="C20" s="2" t="inlineStr">
        <is>
          <t>Budget overrun risk on regulatory reporting deadline if scope is not controlled</t>
        </is>
      </c>
      <c r="D20" t="inlineStr">
        <is>
          <t>M. Choudhury</t>
        </is>
      </c>
      <c r="E20" t="inlineStr">
        <is>
          <t>Low</t>
        </is>
      </c>
      <c r="F20" t="inlineStr">
        <is>
          <t>Medium</t>
        </is>
      </c>
      <c r="G20" t="inlineStr">
        <is>
          <t>Closed</t>
        </is>
      </c>
      <c r="H20" s="3" t="n">
        <v>45750</v>
      </c>
      <c r="I20" s="2" t="inlineStr">
        <is>
          <t>Escalated to sponsor for an early go/no-go decision</t>
        </is>
      </c>
    </row>
    <row r="21">
      <c r="A21" t="inlineStr">
        <is>
          <t>RAID-020</t>
        </is>
      </c>
      <c r="B21" t="inlineStr">
        <is>
          <t>Risk</t>
        </is>
      </c>
      <c r="C21" s="2" t="inlineStr">
        <is>
          <t>Possible delay to change freeze period due to resourcing constraints</t>
        </is>
      </c>
      <c r="D21" t="inlineStr">
        <is>
          <t>N. Kowalski</t>
        </is>
      </c>
      <c r="E21" t="inlineStr">
        <is>
          <t>Low</t>
        </is>
      </c>
      <c r="F21" t="inlineStr">
        <is>
          <t>Low</t>
        </is>
      </c>
      <c r="G21" t="inlineStr">
        <is>
          <t>Closed</t>
        </is>
      </c>
      <c r="H21" s="3" t="n">
        <v>45687</v>
      </c>
      <c r="I21" s="2" t="inlineStr">
        <is>
          <t>Added buffer to the schedule and flagged to steering committee</t>
        </is>
      </c>
    </row>
    <row r="22">
      <c r="A22" t="inlineStr">
        <is>
          <t>RAID-021</t>
        </is>
      </c>
      <c r="B22" t="inlineStr">
        <is>
          <t>Assumption</t>
        </is>
      </c>
      <c r="C22" s="2" t="inlineStr">
        <is>
          <t>Plan assumes no additional approvals are needed for customer authentication flow</t>
        </is>
      </c>
      <c r="D22" t="inlineStr">
        <is>
          <t>N. Kowalski</t>
        </is>
      </c>
      <c r="E22" t="inlineStr">
        <is>
          <t>High</t>
        </is>
      </c>
      <c r="F22" t="inlineStr">
        <is>
          <t>Low</t>
        </is>
      </c>
      <c r="G22" t="inlineStr">
        <is>
          <t>Open</t>
        </is>
      </c>
      <c r="H22" s="3" t="n">
        <v>45787</v>
      </c>
      <c r="I22" s="2" t="inlineStr">
        <is>
          <t>Monitoring for change; no action needed yet</t>
        </is>
      </c>
    </row>
    <row r="23">
      <c r="A23" t="inlineStr">
        <is>
          <t>RAID-022</t>
        </is>
      </c>
      <c r="B23" t="inlineStr">
        <is>
          <t>Risk</t>
        </is>
      </c>
      <c r="C23" s="2" t="inlineStr">
        <is>
          <t>regional data center migration may slip past the committed date without an earlier decision point</t>
        </is>
      </c>
      <c r="D23" t="inlineStr">
        <is>
          <t>P. Osei</t>
        </is>
      </c>
      <c r="E23" t="inlineStr">
        <is>
          <t>High</t>
        </is>
      </c>
      <c r="F23" t="inlineStr">
        <is>
          <t>Low</t>
        </is>
      </c>
      <c r="G23" t="inlineStr">
        <is>
          <t>Open</t>
        </is>
      </c>
      <c r="H23" s="3" t="n">
        <v>45809</v>
      </c>
      <c r="I23" s="2" t="inlineStr">
        <is>
          <t>Contingency budget reserved; reviewing weekly</t>
        </is>
      </c>
    </row>
    <row r="24">
      <c r="A24" t="inlineStr">
        <is>
          <t>RAID-023</t>
        </is>
      </c>
      <c r="B24" t="inlineStr">
        <is>
          <t>Assumption</t>
        </is>
      </c>
      <c r="C24" s="2" t="inlineStr">
        <is>
          <t>Assuming budget approval for Phase 2 completes on the vendor's published timeline</t>
        </is>
      </c>
      <c r="D24" t="inlineStr">
        <is>
          <t>T. Alvarez</t>
        </is>
      </c>
      <c r="E24" t="inlineStr">
        <is>
          <t>Medium</t>
        </is>
      </c>
      <c r="F24" t="inlineStr">
        <is>
          <t>Medium</t>
        </is>
      </c>
      <c r="G24" t="inlineStr">
        <is>
          <t>Open</t>
        </is>
      </c>
      <c r="H24" s="3" t="n">
        <v>45823</v>
      </c>
      <c r="I24" s="2" t="inlineStr">
        <is>
          <t>To be reconfirmed at next steering committee</t>
        </is>
      </c>
    </row>
    <row r="25">
      <c r="A25" t="inlineStr">
        <is>
          <t>RAID-024</t>
        </is>
      </c>
      <c r="B25" t="inlineStr">
        <is>
          <t>Risk</t>
        </is>
      </c>
      <c r="C25" s="2" t="inlineStr">
        <is>
          <t>key resource availability may slip past the committed date without an earlier decision point</t>
        </is>
      </c>
      <c r="D25" t="inlineStr">
        <is>
          <t>R. Fernandes</t>
        </is>
      </c>
      <c r="E25" t="inlineStr">
        <is>
          <t>Medium</t>
        </is>
      </c>
      <c r="F25" t="inlineStr">
        <is>
          <t>Medium</t>
        </is>
      </c>
      <c r="G25" t="inlineStr">
        <is>
          <t>Closed</t>
        </is>
      </c>
      <c r="H25" s="3" t="n">
        <v>45761</v>
      </c>
      <c r="I25" s="2" t="inlineStr">
        <is>
          <t>Escalated to sponsor for an early go/no-go decision</t>
        </is>
      </c>
    </row>
    <row r="26">
      <c r="A26" t="inlineStr">
        <is>
          <t>RAID-025</t>
        </is>
      </c>
      <c r="B26" t="inlineStr">
        <is>
          <t>Issue</t>
        </is>
      </c>
      <c r="C26" s="2" t="inlineStr">
        <is>
          <t>master data cleanup is currently blocked pending vendor response</t>
        </is>
      </c>
      <c r="D26" t="inlineStr">
        <is>
          <t>R. Fernandes</t>
        </is>
      </c>
      <c r="E26" t="inlineStr">
        <is>
          <t>Medium</t>
        </is>
      </c>
      <c r="F26" t="inlineStr">
        <is>
          <t>Medium</t>
        </is>
      </c>
      <c r="G26" t="inlineStr">
        <is>
          <t>Open</t>
        </is>
      </c>
      <c r="H26" s="3" t="n">
        <v>45887</v>
      </c>
      <c r="I26" s="2" t="inlineStr">
        <is>
          <t>Vendor engaged with a 48-hour response SLA</t>
        </is>
      </c>
    </row>
    <row r="27">
      <c r="A27" t="inlineStr">
        <is>
          <t>RAID-026</t>
        </is>
      </c>
      <c r="B27" t="inlineStr">
        <is>
          <t>Issue</t>
        </is>
      </c>
      <c r="C27" s="2" t="inlineStr">
        <is>
          <t>Data quality problems surfaced during network firewall upgrade</t>
        </is>
      </c>
      <c r="D27" t="inlineStr">
        <is>
          <t>T. Alvarez</t>
        </is>
      </c>
      <c r="E27" t="inlineStr">
        <is>
          <t>Medium</t>
        </is>
      </c>
      <c r="F27" t="inlineStr">
        <is>
          <t>Low</t>
        </is>
      </c>
      <c r="G27" t="inlineStr">
        <is>
          <t>Closed</t>
        </is>
      </c>
      <c r="H27" s="3" t="n">
        <v>45694</v>
      </c>
      <c r="I27" s="2" t="inlineStr">
        <is>
          <t>Vendor engaged with a 48-hour response SLA</t>
        </is>
      </c>
    </row>
    <row r="28">
      <c r="A28" t="inlineStr">
        <is>
          <t>RAID-027</t>
        </is>
      </c>
      <c r="B28" t="inlineStr">
        <is>
          <t>Issue</t>
        </is>
      </c>
      <c r="C28" s="2" t="inlineStr">
        <is>
          <t>Defects found during regional data center migration are delaying sign-off</t>
        </is>
      </c>
      <c r="D28" t="inlineStr">
        <is>
          <t>J. Ncube</t>
        </is>
      </c>
      <c r="E28" t="inlineStr">
        <is>
          <t>Low</t>
        </is>
      </c>
      <c r="F28" t="inlineStr">
        <is>
          <t>Low</t>
        </is>
      </c>
      <c r="G28" t="inlineStr">
        <is>
          <t>Open</t>
        </is>
      </c>
      <c r="H28" s="3" t="n">
        <v>45876</v>
      </c>
      <c r="I28" s="2" t="inlineStr">
        <is>
          <t>Vendor engaged with a 48-hour response SLA</t>
        </is>
      </c>
    </row>
    <row r="29">
      <c r="A29" t="inlineStr">
        <is>
          <t>RAID-028</t>
        </is>
      </c>
      <c r="B29" t="inlineStr">
        <is>
          <t>Assumption</t>
        </is>
      </c>
      <c r="C29" s="2" t="inlineStr">
        <is>
          <t>Plan assumes no additional approvals are needed for regulatory reporting deadline</t>
        </is>
      </c>
      <c r="D29" t="inlineStr">
        <is>
          <t>K. Padilla</t>
        </is>
      </c>
      <c r="E29" t="inlineStr">
        <is>
          <t>Medium</t>
        </is>
      </c>
      <c r="F29" t="inlineStr">
        <is>
          <t>Low</t>
        </is>
      </c>
      <c r="G29" t="inlineStr">
        <is>
          <t>Closed</t>
        </is>
      </c>
      <c r="H29" s="3" t="n">
        <v>45701</v>
      </c>
      <c r="I29" s="2" t="inlineStr">
        <is>
          <t>Validated with vendor in writing</t>
        </is>
      </c>
    </row>
    <row r="30">
      <c r="A30" t="inlineStr">
        <is>
          <t>RAID-029</t>
        </is>
      </c>
      <c r="B30" t="inlineStr">
        <is>
          <t>Assumption</t>
        </is>
      </c>
      <c r="C30" s="2" t="inlineStr">
        <is>
          <t>Assuming key resource availability completes on the vendor's published timeline</t>
        </is>
      </c>
      <c r="D30" t="inlineStr">
        <is>
          <t>M. Choudhury</t>
        </is>
      </c>
      <c r="E30" t="inlineStr">
        <is>
          <t>Medium</t>
        </is>
      </c>
      <c r="F30" t="inlineStr">
        <is>
          <t>Low</t>
        </is>
      </c>
      <c r="G30" t="inlineStr">
        <is>
          <t>Closed</t>
        </is>
      </c>
      <c r="H30" s="3" t="n">
        <v>45792</v>
      </c>
      <c r="I30" s="2" t="inlineStr">
        <is>
          <t>To be reconfirmed at next steering committee</t>
        </is>
      </c>
    </row>
    <row r="31">
      <c r="A31" t="inlineStr">
        <is>
          <t>RAID-030</t>
        </is>
      </c>
      <c r="B31" t="inlineStr">
        <is>
          <t>Assumption</t>
        </is>
      </c>
      <c r="C31" s="2" t="inlineStr">
        <is>
          <t>Plan assumes no additional approvals are needed for key resource availability</t>
        </is>
      </c>
      <c r="D31" t="inlineStr">
        <is>
          <t>T. Alvarez</t>
        </is>
      </c>
      <c r="E31" t="inlineStr">
        <is>
          <t>Low</t>
        </is>
      </c>
      <c r="F31" t="inlineStr">
        <is>
          <t>Low</t>
        </is>
      </c>
      <c r="G31" t="inlineStr">
        <is>
          <t>Closed</t>
        </is>
      </c>
      <c r="H31" s="3" t="n">
        <v>45661</v>
      </c>
      <c r="I31" s="2" t="inlineStr">
        <is>
          <t>Validated with vendor in writing</t>
        </is>
      </c>
    </row>
    <row r="32">
      <c r="A32" t="inlineStr">
        <is>
          <t>RAID-031</t>
        </is>
      </c>
      <c r="B32" t="inlineStr">
        <is>
          <t>Risk</t>
        </is>
      </c>
      <c r="C32" s="2" t="inlineStr">
        <is>
          <t>disaster recovery failover test may slip past the committed date without an earlier decision point</t>
        </is>
      </c>
      <c r="D32" t="inlineStr">
        <is>
          <t>R. Fernandes</t>
        </is>
      </c>
      <c r="E32" t="inlineStr">
        <is>
          <t>Medium</t>
        </is>
      </c>
      <c r="F32" t="inlineStr">
        <is>
          <t>High</t>
        </is>
      </c>
      <c r="G32" t="inlineStr">
        <is>
          <t>Open</t>
        </is>
      </c>
      <c r="H32" s="3" t="n">
        <v>45812</v>
      </c>
      <c r="I32" s="2" t="inlineStr">
        <is>
          <t>Escalated to sponsor for an early go/no-go decision</t>
        </is>
      </c>
    </row>
    <row r="33">
      <c r="A33" t="inlineStr">
        <is>
          <t>RAID-032</t>
        </is>
      </c>
      <c r="B33" t="inlineStr">
        <is>
          <t>Issue</t>
        </is>
      </c>
      <c r="C33" s="2" t="inlineStr">
        <is>
          <t>network firewall upgrade is currently blocked pending vendor response</t>
        </is>
      </c>
      <c r="D33" t="inlineStr">
        <is>
          <t>S. Iyer</t>
        </is>
      </c>
      <c r="E33" t="inlineStr">
        <is>
          <t>Low</t>
        </is>
      </c>
      <c r="F33" t="inlineStr">
        <is>
          <t>High</t>
        </is>
      </c>
      <c r="G33" t="inlineStr">
        <is>
          <t>Closed</t>
        </is>
      </c>
      <c r="H33" s="3" t="n">
        <v>45829</v>
      </c>
      <c r="I33" s="2" t="inlineStr">
        <is>
          <t>Root cause under investigation with the platform team</t>
        </is>
      </c>
    </row>
    <row r="34">
      <c r="A34" t="inlineStr">
        <is>
          <t>RAID-033</t>
        </is>
      </c>
      <c r="B34" t="inlineStr">
        <is>
          <t>Issue</t>
        </is>
      </c>
      <c r="C34" s="2" t="inlineStr">
        <is>
          <t>core banking cutover window is currently blocked pending vendor response</t>
        </is>
      </c>
      <c r="D34" t="inlineStr">
        <is>
          <t>A. Mehta</t>
        </is>
      </c>
      <c r="E34" t="inlineStr">
        <is>
          <t>Medium</t>
        </is>
      </c>
      <c r="F34" t="inlineStr">
        <is>
          <t>Medium</t>
        </is>
      </c>
      <c r="G34" t="inlineStr">
        <is>
          <t>Open</t>
        </is>
      </c>
      <c r="H34" s="3" t="n">
        <v>45736</v>
      </c>
      <c r="I34" s="2" t="inlineStr">
        <is>
          <t>Root cause under investigation with the platform team</t>
        </is>
      </c>
    </row>
    <row r="35">
      <c r="A35" t="inlineStr">
        <is>
          <t>RAID-034</t>
        </is>
      </c>
      <c r="B35" t="inlineStr">
        <is>
          <t>Risk</t>
        </is>
      </c>
      <c r="C35" s="2" t="inlineStr">
        <is>
          <t>Insufficient testing window identified for key resource availability</t>
        </is>
      </c>
      <c r="D35" t="inlineStr">
        <is>
          <t>P. Osei</t>
        </is>
      </c>
      <c r="E35" t="inlineStr">
        <is>
          <t>High</t>
        </is>
      </c>
      <c r="F35" t="inlineStr">
        <is>
          <t>Medium</t>
        </is>
      </c>
      <c r="G35" t="inlineStr">
        <is>
          <t>Open</t>
        </is>
      </c>
      <c r="H35" s="3" t="n">
        <v>45863</v>
      </c>
      <c r="I35" s="2" t="inlineStr">
        <is>
          <t>Contingency budget reserved; reviewing weekly</t>
        </is>
      </c>
    </row>
    <row r="36">
      <c r="A36" t="inlineStr">
        <is>
          <t>RAID-035</t>
        </is>
      </c>
      <c r="B36" t="inlineStr">
        <is>
          <t>Issue</t>
        </is>
      </c>
      <c r="C36" s="2" t="inlineStr">
        <is>
          <t>Data quality problems surfaced during cross-border data residency</t>
        </is>
      </c>
      <c r="D36" t="inlineStr">
        <is>
          <t>N. Kowalski</t>
        </is>
      </c>
      <c r="E36" t="inlineStr">
        <is>
          <t>Medium</t>
        </is>
      </c>
      <c r="F36" t="inlineStr">
        <is>
          <t>High</t>
        </is>
      </c>
      <c r="G36" t="inlineStr">
        <is>
          <t>Closed</t>
        </is>
      </c>
      <c r="H36" s="3" t="n">
        <v>45768</v>
      </c>
      <c r="I36" s="2" t="inlineStr">
        <is>
          <t>Root cause under investigation with the platform team</t>
        </is>
      </c>
    </row>
    <row r="37">
      <c r="A37" t="inlineStr">
        <is>
          <t>RAID-036</t>
        </is>
      </c>
      <c r="B37" t="inlineStr">
        <is>
          <t>Dependency</t>
        </is>
      </c>
      <c r="C37" s="2" t="inlineStr">
        <is>
          <t>staff augmentation ramp-up depends on a sign-off from a separate workstream</t>
        </is>
      </c>
      <c r="D37" t="inlineStr">
        <is>
          <t>R. Fernandes</t>
        </is>
      </c>
      <c r="E37" t="inlineStr">
        <is>
          <t>Medium</t>
        </is>
      </c>
      <c r="F37" t="inlineStr">
        <is>
          <t>High</t>
        </is>
      </c>
      <c r="G37" t="inlineStr">
        <is>
          <t>Open</t>
        </is>
      </c>
      <c r="H37" s="3" t="n">
        <v>45883</v>
      </c>
      <c r="I37" s="2" t="inlineStr">
        <is>
          <t>Tracking with the owning workstream lead weekly</t>
        </is>
      </c>
    </row>
    <row r="38">
      <c r="A38" t="inlineStr">
        <is>
          <t>RAID-037</t>
        </is>
      </c>
      <c r="B38" t="inlineStr">
        <is>
          <t>Dependency</t>
        </is>
      </c>
      <c r="C38" s="2" t="inlineStr">
        <is>
          <t>change freeze period depends on a sign-off from a separate workstream</t>
        </is>
      </c>
      <c r="D38" t="inlineStr">
        <is>
          <t>R. Fernandes</t>
        </is>
      </c>
      <c r="E38" t="inlineStr">
        <is>
          <t>Low</t>
        </is>
      </c>
      <c r="F38" t="inlineStr">
        <is>
          <t>High</t>
        </is>
      </c>
      <c r="G38" t="inlineStr">
        <is>
          <t>Open</t>
        </is>
      </c>
      <c r="H38" s="3" t="n">
        <v>45847</v>
      </c>
      <c r="I38" s="2" t="inlineStr">
        <is>
          <t>Escalated to PMO for cross-team prioritization</t>
        </is>
      </c>
    </row>
    <row r="39">
      <c r="A39" t="inlineStr">
        <is>
          <t>RAID-038</t>
        </is>
      </c>
      <c r="B39" t="inlineStr">
        <is>
          <t>Risk</t>
        </is>
      </c>
      <c r="C39" s="2" t="inlineStr">
        <is>
          <t>Budget overrun risk on budget approval for Phase 2 if scope is not controlled</t>
        </is>
      </c>
      <c r="D39" t="inlineStr">
        <is>
          <t>T. Alvarez</t>
        </is>
      </c>
      <c r="E39" t="inlineStr">
        <is>
          <t>Low</t>
        </is>
      </c>
      <c r="F39" t="inlineStr">
        <is>
          <t>Medium</t>
        </is>
      </c>
      <c r="G39" t="inlineStr">
        <is>
          <t>Open</t>
        </is>
      </c>
      <c r="H39" s="3" t="n">
        <v>45871</v>
      </c>
      <c r="I39" s="2" t="inlineStr">
        <is>
          <t>Contingency budget reserved; reviewing weekly</t>
        </is>
      </c>
    </row>
    <row r="40">
      <c r="A40" t="inlineStr">
        <is>
          <t>RAID-039</t>
        </is>
      </c>
      <c r="B40" t="inlineStr">
        <is>
          <t>Risk</t>
        </is>
      </c>
      <c r="C40" s="2" t="inlineStr">
        <is>
          <t>Budget overrun risk on budget approval for Phase 2 if scope is not controlled</t>
        </is>
      </c>
      <c r="D40" t="inlineStr">
        <is>
          <t>A. Mehta</t>
        </is>
      </c>
      <c r="E40" t="inlineStr">
        <is>
          <t>Medium</t>
        </is>
      </c>
      <c r="F40" t="inlineStr">
        <is>
          <t>High</t>
        </is>
      </c>
      <c r="G40" t="inlineStr">
        <is>
          <t>Open</t>
        </is>
      </c>
      <c r="H40" s="3" t="n">
        <v>45881</v>
      </c>
      <c r="I40" s="2" t="inlineStr">
        <is>
          <t>Contingency budget reserved; reviewing weekly</t>
        </is>
      </c>
    </row>
    <row r="41">
      <c r="A41" t="inlineStr">
        <is>
          <t>RAID-040</t>
        </is>
      </c>
      <c r="B41" t="inlineStr">
        <is>
          <t>Dependency</t>
        </is>
      </c>
      <c r="C41" s="2" t="inlineStr">
        <is>
          <t>peak-season load testing depends on a sign-off from a separate workstream</t>
        </is>
      </c>
      <c r="D41" t="inlineStr">
        <is>
          <t>A. Mehta</t>
        </is>
      </c>
      <c r="E41" t="inlineStr">
        <is>
          <t>Medium</t>
        </is>
      </c>
      <c r="F41" t="inlineStr">
        <is>
          <t>Medium</t>
        </is>
      </c>
      <c r="G41" t="inlineStr">
        <is>
          <t>Open</t>
        </is>
      </c>
      <c r="H41" s="3" t="n">
        <v>45932</v>
      </c>
      <c r="I41" s="2" t="inlineStr">
        <is>
          <t>Escalated to PMO for cross-team prioritization</t>
        </is>
      </c>
    </row>
    <row r="42">
      <c r="A42" t="inlineStr">
        <is>
          <t>RAID-041</t>
        </is>
      </c>
      <c r="B42" t="inlineStr">
        <is>
          <t>Issue</t>
        </is>
      </c>
      <c r="C42" s="2" t="inlineStr">
        <is>
          <t>Defects found during regulatory reporting deadline are delaying sign-off</t>
        </is>
      </c>
      <c r="D42" t="inlineStr">
        <is>
          <t>J. Ncube</t>
        </is>
      </c>
      <c r="E42" t="inlineStr">
        <is>
          <t>High</t>
        </is>
      </c>
      <c r="F42" t="inlineStr">
        <is>
          <t>Medium</t>
        </is>
      </c>
      <c r="G42" t="inlineStr">
        <is>
          <t>Open</t>
        </is>
      </c>
      <c r="H42" s="3" t="n">
        <v>45662</v>
      </c>
      <c r="I42" s="2" t="inlineStr">
        <is>
          <t>Vendor engaged with a 48-hour response SLA</t>
        </is>
      </c>
    </row>
    <row r="43">
      <c r="A43" t="inlineStr">
        <is>
          <t>RAID-042</t>
        </is>
      </c>
      <c r="B43" t="inlineStr">
        <is>
          <t>Issue</t>
        </is>
      </c>
      <c r="C43" s="2" t="inlineStr">
        <is>
          <t>cross-border data residency is currently blocked pending vendor response</t>
        </is>
      </c>
      <c r="D43" t="inlineStr">
        <is>
          <t>K. Padilla</t>
        </is>
      </c>
      <c r="E43" t="inlineStr">
        <is>
          <t>Medium</t>
        </is>
      </c>
      <c r="F43" t="inlineStr">
        <is>
          <t>Medium</t>
        </is>
      </c>
      <c r="G43" t="inlineStr">
        <is>
          <t>Closed</t>
        </is>
      </c>
      <c r="H43" s="3" t="n">
        <v>45740</v>
      </c>
      <c r="I43" s="2" t="inlineStr">
        <is>
          <t>Fix scheduled for next release; workaround in place</t>
        </is>
      </c>
    </row>
    <row r="44">
      <c r="A44" t="inlineStr">
        <is>
          <t>RAID-043</t>
        </is>
      </c>
      <c r="B44" t="inlineStr">
        <is>
          <t>Risk</t>
        </is>
      </c>
      <c r="C44" s="2" t="inlineStr">
        <is>
          <t>disaster recovery failover test may slip past the committed date without an earlier decision point</t>
        </is>
      </c>
      <c r="D44" t="inlineStr">
        <is>
          <t>A. Mehta</t>
        </is>
      </c>
      <c r="E44" t="inlineStr">
        <is>
          <t>High</t>
        </is>
      </c>
      <c r="F44" t="inlineStr">
        <is>
          <t>Low</t>
        </is>
      </c>
      <c r="G44" t="inlineStr">
        <is>
          <t>Open</t>
        </is>
      </c>
      <c r="H44" s="3" t="n">
        <v>45933</v>
      </c>
      <c r="I44" s="2" t="inlineStr">
        <is>
          <t>Added buffer to the schedule and flagged to steering committee</t>
        </is>
      </c>
    </row>
    <row r="45">
      <c r="A45" t="inlineStr">
        <is>
          <t>RAID-044</t>
        </is>
      </c>
      <c r="B45" t="inlineStr">
        <is>
          <t>Issue</t>
        </is>
      </c>
      <c r="C45" s="2" t="inlineStr">
        <is>
          <t>Data quality problems surfaced during translation and localization</t>
        </is>
      </c>
      <c r="D45" t="inlineStr">
        <is>
          <t>R. Fernandes</t>
        </is>
      </c>
      <c r="E45" t="inlineStr">
        <is>
          <t>Medium</t>
        </is>
      </c>
      <c r="F45" t="inlineStr">
        <is>
          <t>High</t>
        </is>
      </c>
      <c r="G45" t="inlineStr">
        <is>
          <t>Closed</t>
        </is>
      </c>
      <c r="H45" s="3" t="n">
        <v>45915</v>
      </c>
      <c r="I45" s="2" t="inlineStr">
        <is>
          <t>Fix scheduled for next release; workaround in place</t>
        </is>
      </c>
    </row>
    <row r="46">
      <c r="A46" t="inlineStr">
        <is>
          <t>RAID-045</t>
        </is>
      </c>
      <c r="B46" t="inlineStr">
        <is>
          <t>Issue</t>
        </is>
      </c>
      <c r="C46" s="2" t="inlineStr">
        <is>
          <t>cross-border data residency is currently blocked pending vendor response</t>
        </is>
      </c>
      <c r="D46" t="inlineStr">
        <is>
          <t>L. Duarte</t>
        </is>
      </c>
      <c r="E46" t="inlineStr">
        <is>
          <t>Medium</t>
        </is>
      </c>
      <c r="F46" t="inlineStr">
        <is>
          <t>High</t>
        </is>
      </c>
      <c r="G46" t="inlineStr">
        <is>
          <t>Open</t>
        </is>
      </c>
      <c r="H46" s="3" t="n">
        <v>45884</v>
      </c>
      <c r="I46" s="2" t="inlineStr">
        <is>
          <t>Fix scheduled for next release; workaround in place</t>
        </is>
      </c>
    </row>
    <row r="47">
      <c r="A47" t="inlineStr">
        <is>
          <t>RAID-046</t>
        </is>
      </c>
      <c r="B47" t="inlineStr">
        <is>
          <t>Issue</t>
        </is>
      </c>
      <c r="C47" s="2" t="inlineStr">
        <is>
          <t>peak-season load testing is currently blocked pending vendor response</t>
        </is>
      </c>
      <c r="D47" t="inlineStr">
        <is>
          <t>J. Ncube</t>
        </is>
      </c>
      <c r="E47" t="inlineStr">
        <is>
          <t>Medium</t>
        </is>
      </c>
      <c r="F47" t="inlineStr">
        <is>
          <t>Low</t>
        </is>
      </c>
      <c r="G47" t="inlineStr">
        <is>
          <t>Closed</t>
        </is>
      </c>
      <c r="H47" s="3" t="n">
        <v>45845</v>
      </c>
      <c r="I47" s="2" t="inlineStr">
        <is>
          <t>Fix scheduled for next release; workaround in place</t>
        </is>
      </c>
    </row>
    <row r="48">
      <c r="A48" t="inlineStr">
        <is>
          <t>RAID-047</t>
        </is>
      </c>
      <c r="B48" t="inlineStr">
        <is>
          <t>Risk</t>
        </is>
      </c>
      <c r="C48" s="2" t="inlineStr">
        <is>
          <t>Possible delay to core banking cutover window due to resourcing constraints</t>
        </is>
      </c>
      <c r="D48" t="inlineStr">
        <is>
          <t>P. Osei</t>
        </is>
      </c>
      <c r="E48" t="inlineStr">
        <is>
          <t>Medium</t>
        </is>
      </c>
      <c r="F48" t="inlineStr">
        <is>
          <t>High</t>
        </is>
      </c>
      <c r="G48" t="inlineStr">
        <is>
          <t>Open</t>
        </is>
      </c>
      <c r="H48" s="3" t="n">
        <v>45932</v>
      </c>
      <c r="I48" s="2" t="inlineStr">
        <is>
          <t>Escalated to sponsor for an early go/no-go decision</t>
        </is>
      </c>
    </row>
    <row r="49">
      <c r="A49" t="inlineStr">
        <is>
          <t>RAID-048</t>
        </is>
      </c>
      <c r="B49" t="inlineStr">
        <is>
          <t>Risk</t>
        </is>
      </c>
      <c r="C49" s="2" t="inlineStr">
        <is>
          <t>Insufficient testing window identified for translation and localization</t>
        </is>
      </c>
      <c r="D49" t="inlineStr">
        <is>
          <t>M. Choudhury</t>
        </is>
      </c>
      <c r="E49" t="inlineStr">
        <is>
          <t>Low</t>
        </is>
      </c>
      <c r="F49" t="inlineStr">
        <is>
          <t>Low</t>
        </is>
      </c>
      <c r="G49" t="inlineStr">
        <is>
          <t>Open</t>
        </is>
      </c>
      <c r="H49" s="3" t="n">
        <v>45843</v>
      </c>
      <c r="I49" s="2" t="inlineStr">
        <is>
          <t>Added buffer to the schedule and flagged to steering committee</t>
        </is>
      </c>
    </row>
    <row r="50">
      <c r="A50" t="inlineStr">
        <is>
          <t>RAID-049</t>
        </is>
      </c>
      <c r="B50" t="inlineStr">
        <is>
          <t>Assumption</t>
        </is>
      </c>
      <c r="C50" s="2" t="inlineStr">
        <is>
          <t>Plan assumes no additional approvals are needed for cross-border data residency</t>
        </is>
      </c>
      <c r="D50" t="inlineStr">
        <is>
          <t>T. Alvarez</t>
        </is>
      </c>
      <c r="E50" t="inlineStr">
        <is>
          <t>Medium</t>
        </is>
      </c>
      <c r="F50" t="inlineStr">
        <is>
          <t>Low</t>
        </is>
      </c>
      <c r="G50" t="inlineStr">
        <is>
          <t>Closed</t>
        </is>
      </c>
      <c r="H50" s="3" t="n">
        <v>45951</v>
      </c>
      <c r="I50" s="2" t="inlineStr">
        <is>
          <t>Validated with vendor in writing</t>
        </is>
      </c>
    </row>
    <row r="51">
      <c r="A51" t="inlineStr">
        <is>
          <t>RAID-050</t>
        </is>
      </c>
      <c r="B51" t="inlineStr">
        <is>
          <t>Dependency</t>
        </is>
      </c>
      <c r="C51" s="2" t="inlineStr">
        <is>
          <t>budget approval for Phase 2 depends on a sign-off from a separate workstream</t>
        </is>
      </c>
      <c r="D51" t="inlineStr">
        <is>
          <t>K. Padilla</t>
        </is>
      </c>
      <c r="E51" t="inlineStr">
        <is>
          <t>Low</t>
        </is>
      </c>
      <c r="F51" t="inlineStr">
        <is>
          <t>High</t>
        </is>
      </c>
      <c r="G51" t="inlineStr">
        <is>
          <t>Open</t>
        </is>
      </c>
      <c r="H51" s="3" t="n">
        <v>45930</v>
      </c>
      <c r="I51" s="2" t="inlineStr">
        <is>
          <t>Contract finance team engaged to expedite</t>
        </is>
      </c>
    </row>
    <row r="52">
      <c r="A52" t="inlineStr">
        <is>
          <t>RAID-051</t>
        </is>
      </c>
      <c r="B52" t="inlineStr">
        <is>
          <t>Risk</t>
        </is>
      </c>
      <c r="C52" s="2" t="inlineStr">
        <is>
          <t>cross-border data residency may slip past the committed date without an earlier decision point</t>
        </is>
      </c>
      <c r="D52" t="inlineStr">
        <is>
          <t>P. Osei</t>
        </is>
      </c>
      <c r="E52" t="inlineStr">
        <is>
          <t>Medium</t>
        </is>
      </c>
      <c r="F52" t="inlineStr">
        <is>
          <t>Medium</t>
        </is>
      </c>
      <c r="G52" t="inlineStr">
        <is>
          <t>Open</t>
        </is>
      </c>
      <c r="H52" s="3" t="n">
        <v>45911</v>
      </c>
      <c r="I52" s="2" t="inlineStr">
        <is>
          <t>Contingency budget reserved; reviewing weekly</t>
        </is>
      </c>
    </row>
    <row r="53">
      <c r="A53" t="inlineStr">
        <is>
          <t>RAID-052</t>
        </is>
      </c>
      <c r="B53" t="inlineStr">
        <is>
          <t>Risk</t>
        </is>
      </c>
      <c r="C53" s="2" t="inlineStr">
        <is>
          <t>Budget overrun risk on cross-border data residency if scope is not controlled</t>
        </is>
      </c>
      <c r="D53" t="inlineStr">
        <is>
          <t>P. Osei</t>
        </is>
      </c>
      <c r="E53" t="inlineStr">
        <is>
          <t>High</t>
        </is>
      </c>
      <c r="F53" t="inlineStr">
        <is>
          <t>Medium</t>
        </is>
      </c>
      <c r="G53" t="inlineStr">
        <is>
          <t>Closed</t>
        </is>
      </c>
      <c r="H53" s="3" t="n">
        <v>45678</v>
      </c>
      <c r="I53" s="2" t="inlineStr">
        <is>
          <t>Escalated to sponsor for an early go/no-go decision</t>
        </is>
      </c>
    </row>
    <row r="54">
      <c r="A54" t="inlineStr">
        <is>
          <t>RAID-053</t>
        </is>
      </c>
      <c r="B54" t="inlineStr">
        <is>
          <t>Risk</t>
        </is>
      </c>
      <c r="C54" s="2" t="inlineStr">
        <is>
          <t>Budget overrun risk on regulatory reporting deadline if scope is not controlled</t>
        </is>
      </c>
      <c r="D54" t="inlineStr">
        <is>
          <t>J. Ncube</t>
        </is>
      </c>
      <c r="E54" t="inlineStr">
        <is>
          <t>Low</t>
        </is>
      </c>
      <c r="F54" t="inlineStr">
        <is>
          <t>Low</t>
        </is>
      </c>
      <c r="G54" t="inlineStr">
        <is>
          <t>Closed</t>
        </is>
      </c>
      <c r="H54" s="3" t="n">
        <v>45739</v>
      </c>
      <c r="I54" s="2" t="inlineStr">
        <is>
          <t>Escalated to sponsor for an early go/no-go decision</t>
        </is>
      </c>
    </row>
    <row r="55">
      <c r="A55" t="inlineStr">
        <is>
          <t>RAID-054</t>
        </is>
      </c>
      <c r="B55" t="inlineStr">
        <is>
          <t>Risk</t>
        </is>
      </c>
      <c r="C55" s="2" t="inlineStr">
        <is>
          <t>Insufficient testing window identified for budget approval for Phase 2</t>
        </is>
      </c>
      <c r="D55" t="inlineStr">
        <is>
          <t>N. Kowalski</t>
        </is>
      </c>
      <c r="E55" t="inlineStr">
        <is>
          <t>Low</t>
        </is>
      </c>
      <c r="F55" t="inlineStr">
        <is>
          <t>Medium</t>
        </is>
      </c>
      <c r="G55" t="inlineStr">
        <is>
          <t>Open</t>
        </is>
      </c>
      <c r="H55" s="3" t="n">
        <v>45906</v>
      </c>
      <c r="I55" s="2" t="inlineStr">
        <is>
          <t>Contingency budget reserved; reviewing weekly</t>
        </is>
      </c>
    </row>
    <row r="56">
      <c r="A56" t="inlineStr">
        <is>
          <t>RAID-055</t>
        </is>
      </c>
      <c r="B56" t="inlineStr">
        <is>
          <t>Issue</t>
        </is>
      </c>
      <c r="C56" s="2" t="inlineStr">
        <is>
          <t>mobile app store approval is currently blocked pending vendor response</t>
        </is>
      </c>
      <c r="D56" t="inlineStr">
        <is>
          <t>A. Mehta</t>
        </is>
      </c>
      <c r="E56" t="inlineStr">
        <is>
          <t>Medium</t>
        </is>
      </c>
      <c r="F56" t="inlineStr">
        <is>
          <t>Low</t>
        </is>
      </c>
      <c r="G56" t="inlineStr">
        <is>
          <t>Open</t>
        </is>
      </c>
      <c r="H56" s="3" t="n">
        <v>45913</v>
      </c>
      <c r="I56" s="2" t="inlineStr">
        <is>
          <t>Fix scheduled for next release; workaround in place</t>
        </is>
      </c>
    </row>
  </sheetData>
  <autoFilter ref="A1:I56"/>
  <conditionalFormatting sqref="E2:E56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2:G56">
    <cfRule type="cellIs" priority="4" operator="equal" dxfId="1">
      <formula>"Open"</formula>
    </cfRule>
    <cfRule type="cellIs" priority="5" operator="equal" dxfId="2">
      <formula>"Closed"</formula>
    </cfRule>
  </conditionalFormatting>
  <conditionalFormatting sqref="A2:I56">
    <cfRule type="expression" priority="6" dxfId="3">
      <formula>AND($E2="High",$G2="Open")</formula>
    </cfRule>
  </conditionalFormatting>
  <dataValidations count="3">
    <dataValidation sqref="B2:B56" showDropDown="0" showInputMessage="0" showErrorMessage="0" allowBlank="0" type="list">
      <formula1>"Risk,Assumption,Issue,Dependency"</formula1>
    </dataValidation>
    <dataValidation sqref="E2:E56 F2:F56" showDropDown="0" showInputMessage="0" showErrorMessage="0" allowBlank="0" type="list">
      <formula1>"High,Medium,Low"</formula1>
    </dataValidation>
    <dataValidation sqref="G2:G56" showDropDown="0" showInputMessage="0" showErrorMessage="0" allowBlank="0" type="list">
      <formula1>"Open,Closed"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8" customWidth="1" min="3" max="3"/>
    <col width="14" customWidth="1" min="4" max="4"/>
    <col width="46" customWidth="1" min="5" max="5"/>
    <col width="8" customWidth="1" min="6" max="6"/>
    <col width="42" customWidth="1" min="7" max="7"/>
    <col width="20" customWidth="1" min="8" max="8"/>
    <col width="8" customWidth="1" min="9" max="9"/>
    <col width="20" customWidth="1" min="10" max="10"/>
    <col width="8" customWidth="1" min="11" max="11"/>
  </cols>
  <sheetData>
    <row r="2">
      <c r="B2" s="4" t="inlineStr">
        <is>
          <t>RAID Log: Monthly Review Summary</t>
        </is>
      </c>
    </row>
    <row r="4">
      <c r="B4" s="5" t="inlineStr">
        <is>
          <t>Total Items</t>
        </is>
      </c>
      <c r="D4" s="6" t="inlineStr">
        <is>
          <t>Open Items</t>
        </is>
      </c>
      <c r="F4" s="6" t="inlineStr">
        <is>
          <t>Closed Items</t>
        </is>
      </c>
      <c r="H4" s="6" t="inlineStr">
        <is>
          <t>High Impact Open</t>
        </is>
      </c>
      <c r="J4" s="6" t="inlineStr">
        <is>
          <t>Percent Closed</t>
        </is>
      </c>
    </row>
    <row r="5">
      <c r="B5" s="7">
        <f>COUNTA('RAID Log'!A2:A56)</f>
        <v/>
      </c>
      <c r="D5" s="7">
        <f>COUNTIF('RAID Log'!G2:G56,"Open")</f>
        <v/>
      </c>
      <c r="F5" s="7">
        <f>COUNTIF('RAID Log'!G2:G56,"Closed")</f>
        <v/>
      </c>
      <c r="H5" s="7">
        <f>COUNTIFS('RAID Log'!E2:E56,"High",'RAID Log'!G2:G56,"Open")</f>
        <v/>
      </c>
      <c r="J5" s="8">
        <f>COUNTIF('RAID Log'!G2:G56,"Closed")/COUNTA('RAID Log'!A2:A56)</f>
        <v/>
      </c>
    </row>
    <row r="6" ht="6" customHeight="1">
      <c r="B6" s="9" t="n"/>
      <c r="D6" s="9" t="n"/>
      <c r="F6" s="9" t="n"/>
      <c r="H6" s="9" t="n"/>
      <c r="J6" s="9" t="n"/>
    </row>
    <row r="8">
      <c r="B8" s="10" t="inlineStr">
        <is>
          <t>Open Items by Type</t>
        </is>
      </c>
      <c r="F8" s="10" t="inlineStr">
        <is>
          <t>Open Items by Impact</t>
        </is>
      </c>
    </row>
    <row r="9">
      <c r="B9" s="11" t="inlineStr">
        <is>
          <t>Type</t>
        </is>
      </c>
      <c r="C9" s="11" t="inlineStr">
        <is>
          <t>Open Count</t>
        </is>
      </c>
      <c r="F9" s="11" t="inlineStr">
        <is>
          <t>Impact</t>
        </is>
      </c>
      <c r="G9" s="11" t="inlineStr">
        <is>
          <t>Open Count</t>
        </is>
      </c>
    </row>
    <row r="10">
      <c r="B10" t="inlineStr">
        <is>
          <t>Risk</t>
        </is>
      </c>
      <c r="C10">
        <f>COUNTIFS('RAID Log'!$B$2:$B$56,B10,'RAID Log'!$G$2:$G$56,"Open")</f>
        <v/>
      </c>
      <c r="F10" t="inlineStr">
        <is>
          <t>High</t>
        </is>
      </c>
      <c r="G10">
        <f>COUNTIFS('RAID Log'!$E$2:$E$56,F10,'RAID Log'!$G$2:$G$56,"Open")</f>
        <v/>
      </c>
    </row>
    <row r="11">
      <c r="B11" t="inlineStr">
        <is>
          <t>Assumption</t>
        </is>
      </c>
      <c r="C11">
        <f>COUNTIFS('RAID Log'!$B$2:$B$56,B11,'RAID Log'!$G$2:$G$56,"Open")</f>
        <v/>
      </c>
      <c r="F11" t="inlineStr">
        <is>
          <t>Medium</t>
        </is>
      </c>
      <c r="G11">
        <f>COUNTIFS('RAID Log'!$E$2:$E$56,F11,'RAID Log'!$G$2:$G$56,"Open")</f>
        <v/>
      </c>
    </row>
    <row r="12">
      <c r="B12" t="inlineStr">
        <is>
          <t>Issue</t>
        </is>
      </c>
      <c r="C12">
        <f>COUNTIFS('RAID Log'!$B$2:$B$56,B12,'RAID Log'!$G$2:$G$56,"Open")</f>
        <v/>
      </c>
      <c r="F12" t="inlineStr">
        <is>
          <t>Low</t>
        </is>
      </c>
      <c r="G12">
        <f>COUNTIFS('RAID Log'!$E$2:$E$56,F12,'RAID Log'!$G$2:$G$56,"Open")</f>
        <v/>
      </c>
    </row>
    <row r="13">
      <c r="B13" t="inlineStr">
        <is>
          <t>Dependency</t>
        </is>
      </c>
      <c r="C13">
        <f>COUNTIFS('RAID Log'!$B$2:$B$56,B13,'RAID Log'!$G$2:$G$56,"Open")</f>
        <v/>
      </c>
    </row>
    <row r="33">
      <c r="B33" s="10" t="inlineStr">
        <is>
          <t>Items Needing Attention (High Impact, Currently Open)</t>
        </is>
      </c>
    </row>
    <row r="34">
      <c r="B34" s="12" t="inlineStr">
        <is>
          <t>ID</t>
        </is>
      </c>
      <c r="C34" s="12" t="inlineStr">
        <is>
          <t>Type</t>
        </is>
      </c>
      <c r="D34" s="12" t="inlineStr">
        <is>
          <t>Owner</t>
        </is>
      </c>
      <c r="E34" s="12" t="inlineStr">
        <is>
          <t>Description</t>
        </is>
      </c>
      <c r="F34" s="12" t="inlineStr">
        <is>
          <t>Mitigation / Action</t>
        </is>
      </c>
    </row>
    <row r="35">
      <c r="B35" s="13" t="inlineStr">
        <is>
          <t>RAID-008</t>
        </is>
      </c>
      <c r="C35" s="13" t="inlineStr">
        <is>
          <t>Risk</t>
        </is>
      </c>
      <c r="D35" s="13" t="inlineStr">
        <is>
          <t>M. Choudhury</t>
        </is>
      </c>
      <c r="E35" s="13" t="inlineStr">
        <is>
          <t>customer authentication flow may slip past the committed date without an earlier decision point</t>
        </is>
      </c>
      <c r="F35" s="13" t="inlineStr">
        <is>
          <t>Contingency budget reserved; reviewing weekly</t>
        </is>
      </c>
    </row>
    <row r="36">
      <c r="B36" s="13" t="inlineStr">
        <is>
          <t>RAID-010</t>
        </is>
      </c>
      <c r="C36" s="13" t="inlineStr">
        <is>
          <t>Dependency</t>
        </is>
      </c>
      <c r="D36" s="13" t="inlineStr">
        <is>
          <t>S. Iyer</t>
        </is>
      </c>
      <c r="E36" s="13" t="inlineStr">
        <is>
          <t>single sign-on rollout depends on a sign-off from a separate workstream</t>
        </is>
      </c>
      <c r="F36" s="13" t="inlineStr">
        <is>
          <t>Contract finance team engaged to expedite</t>
        </is>
      </c>
    </row>
    <row r="37">
      <c r="B37" s="13" t="inlineStr">
        <is>
          <t>RAID-014</t>
        </is>
      </c>
      <c r="C37" s="13" t="inlineStr">
        <is>
          <t>Dependency</t>
        </is>
      </c>
      <c r="D37" s="13" t="inlineStr">
        <is>
          <t>M. Choudhury</t>
        </is>
      </c>
      <c r="E37" s="13" t="inlineStr">
        <is>
          <t>legacy database decommission depends on a sign-off from a separate workstream</t>
        </is>
      </c>
      <c r="F37" s="13" t="inlineStr">
        <is>
          <t>Escalated to PMO for cross-team prioritization</t>
        </is>
      </c>
    </row>
    <row r="38">
      <c r="B38" s="13" t="inlineStr">
        <is>
          <t>RAID-021</t>
        </is>
      </c>
      <c r="C38" s="13" t="inlineStr">
        <is>
          <t>Assumption</t>
        </is>
      </c>
      <c r="D38" s="13" t="inlineStr">
        <is>
          <t>N. Kowalski</t>
        </is>
      </c>
      <c r="E38" s="13" t="inlineStr">
        <is>
          <t>Plan assumes no additional approvals are needed for customer authentication flow</t>
        </is>
      </c>
      <c r="F38" s="13" t="inlineStr">
        <is>
          <t>Monitoring for change; no action needed yet</t>
        </is>
      </c>
    </row>
    <row r="39">
      <c r="B39" s="13" t="inlineStr">
        <is>
          <t>RAID-022</t>
        </is>
      </c>
      <c r="C39" s="13" t="inlineStr">
        <is>
          <t>Risk</t>
        </is>
      </c>
      <c r="D39" s="13" t="inlineStr">
        <is>
          <t>P. Osei</t>
        </is>
      </c>
      <c r="E39" s="13" t="inlineStr">
        <is>
          <t>regional data center migration may slip past the committed date without an earlier decision point</t>
        </is>
      </c>
      <c r="F39" s="13" t="inlineStr">
        <is>
          <t>Contingency budget reserved; reviewing weekly</t>
        </is>
      </c>
    </row>
    <row r="40">
      <c r="B40" s="13" t="inlineStr">
        <is>
          <t>RAID-034</t>
        </is>
      </c>
      <c r="C40" s="13" t="inlineStr">
        <is>
          <t>Risk</t>
        </is>
      </c>
      <c r="D40" s="13" t="inlineStr">
        <is>
          <t>P. Osei</t>
        </is>
      </c>
      <c r="E40" s="13" t="inlineStr">
        <is>
          <t>Insufficient testing window identified for key resource availability</t>
        </is>
      </c>
      <c r="F40" s="13" t="inlineStr">
        <is>
          <t>Contingency budget reserved; reviewing weekly</t>
        </is>
      </c>
    </row>
    <row r="41">
      <c r="B41" s="13" t="inlineStr">
        <is>
          <t>RAID-041</t>
        </is>
      </c>
      <c r="C41" s="13" t="inlineStr">
        <is>
          <t>Issue</t>
        </is>
      </c>
      <c r="D41" s="13" t="inlineStr">
        <is>
          <t>J. Ncube</t>
        </is>
      </c>
      <c r="E41" s="13" t="inlineStr">
        <is>
          <t>Defects found during regulatory reporting deadline are delaying sign-off</t>
        </is>
      </c>
      <c r="F41" s="13" t="inlineStr">
        <is>
          <t>Vendor engaged with a 48-hour response SLA</t>
        </is>
      </c>
    </row>
    <row r="42">
      <c r="B42" s="13" t="inlineStr">
        <is>
          <t>RAID-043</t>
        </is>
      </c>
      <c r="C42" s="13" t="inlineStr">
        <is>
          <t>Risk</t>
        </is>
      </c>
      <c r="D42" s="13" t="inlineStr">
        <is>
          <t>A. Mehta</t>
        </is>
      </c>
      <c r="E42" s="13" t="inlineStr">
        <is>
          <t>disaster recovery failover test may slip past the committed date without an earlier decision point</t>
        </is>
      </c>
      <c r="F42" s="13" t="inlineStr">
        <is>
          <t>Added buffer to the schedule and flagged to steering committee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2026-09-09T23:46:00Z</dcterms:created>
  <dcterms:modified xsi:type="dcterms:W3CDTF">2026-09-09T23:46:00Z</dcterms:modified>
</cp:coreProperties>
</file>